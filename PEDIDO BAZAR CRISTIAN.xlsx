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1570" windowHeight="7995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5" i="1" l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7" i="1"/>
  <c r="D7" i="1"/>
  <c r="E3" i="1"/>
  <c r="D3" i="1"/>
  <c r="E2" i="1"/>
  <c r="D2" i="1"/>
</calcChain>
</file>

<file path=xl/sharedStrings.xml><?xml version="1.0" encoding="utf-8"?>
<sst xmlns="http://schemas.openxmlformats.org/spreadsheetml/2006/main" count="608" uniqueCount="398">
  <si>
    <t>codigo</t>
  </si>
  <si>
    <t>nombre_producto</t>
  </si>
  <si>
    <t>nombreAtributo</t>
  </si>
  <si>
    <t>existencia</t>
  </si>
  <si>
    <t>precio</t>
  </si>
  <si>
    <t>codigo_barra</t>
  </si>
  <si>
    <t>BARBER0101</t>
  </si>
  <si>
    <t>ACEITE PARA BARBA THE BARBERSHOP</t>
  </si>
  <si>
    <t>SIN ATRIBUTO</t>
  </si>
  <si>
    <t>BARBER0004</t>
  </si>
  <si>
    <t>AFTER SHAVE THE BARBERSHOP X120ML</t>
  </si>
  <si>
    <t>PEAR0018</t>
  </si>
  <si>
    <t>AGUA DE COLONIA X 1000ML</t>
  </si>
  <si>
    <t>PACIFIC BLUE</t>
  </si>
  <si>
    <t>PEAR0019</t>
  </si>
  <si>
    <t>LA ROSE</t>
  </si>
  <si>
    <t>PEAR0106</t>
  </si>
  <si>
    <t>MINERAL GREEN</t>
  </si>
  <si>
    <t>SALO0872</t>
  </si>
  <si>
    <t>ALMOHADILLA SILICONADA PARA PEGA DE PESTAÑAS PELO A PELO X 5 UNDS</t>
  </si>
  <si>
    <t>BARUP0015</t>
  </si>
  <si>
    <t>BALSAMO BARBER UP</t>
  </si>
  <si>
    <t>2L</t>
  </si>
  <si>
    <t>BOSL0151</t>
  </si>
  <si>
    <t>BETUN PARA CEJAS BOSLEY 4G Y PINCEL DOBLE</t>
  </si>
  <si>
    <t>CHOCOLAT #1</t>
  </si>
  <si>
    <t>BOSL0150</t>
  </si>
  <si>
    <t>MOKA #2</t>
  </si>
  <si>
    <t>BARBER0124</t>
  </si>
  <si>
    <t>BODY BUTTER THE BARBERSHOP X185GR</t>
  </si>
  <si>
    <t>SALO0350</t>
  </si>
  <si>
    <t>BROCHA ABANICO MEDIDAS 14*4 CM PEQUEÑA</t>
  </si>
  <si>
    <t>SALO0827</t>
  </si>
  <si>
    <t>BROCHA ANGULAR</t>
  </si>
  <si>
    <t>SALO0688</t>
  </si>
  <si>
    <t>BROCHA BOSLEY GRANDE PARA POLVO</t>
  </si>
  <si>
    <t>SALO0773</t>
  </si>
  <si>
    <t>BROCHA CABO DE LUJO COLORES SURTIDOS</t>
  </si>
  <si>
    <t>SALO0645</t>
  </si>
  <si>
    <t>BROCHA KABUKI PLANA PARA BASE</t>
  </si>
  <si>
    <t>SALO0701</t>
  </si>
  <si>
    <t>BROCHA LENGUA DE GATO PEQUEÑA</t>
  </si>
  <si>
    <t>SALO0320</t>
  </si>
  <si>
    <t>BROCHA MEDIANA PARA RUBOR CABO DE BAMBU</t>
  </si>
  <si>
    <t>SALO0695</t>
  </si>
  <si>
    <t>BROCHA METALICA RETRACTIL BOSLEY</t>
  </si>
  <si>
    <t>SALO0826</t>
  </si>
  <si>
    <t>BROCHA MOFETA DOBLE FIBRA</t>
  </si>
  <si>
    <t>SALO0707</t>
  </si>
  <si>
    <t>BROCHA OVAL PEQUEÑA PARA BASE</t>
  </si>
  <si>
    <t>BROCHAS</t>
  </si>
  <si>
    <t>SALO0822</t>
  </si>
  <si>
    <t>BROCHA PARA POLVO</t>
  </si>
  <si>
    <t>SALO0823</t>
  </si>
  <si>
    <t>SALO0467</t>
  </si>
  <si>
    <t>BROCHA PLANA CABO MADERA</t>
  </si>
  <si>
    <t>SALO0010</t>
  </si>
  <si>
    <t>CAPA BARBERIA ESTAMPADOS SURTIDOS</t>
  </si>
  <si>
    <t>BARBERIA AZUL</t>
  </si>
  <si>
    <t>SALO0724</t>
  </si>
  <si>
    <t>CEPILLO BARBERO DOBLE</t>
  </si>
  <si>
    <t>SALO0580</t>
  </si>
  <si>
    <t>CEPILLO FACIAL DE SILICONA</t>
  </si>
  <si>
    <t>LAGRIMA</t>
  </si>
  <si>
    <t>SALO0577</t>
  </si>
  <si>
    <t>OVALADO</t>
  </si>
  <si>
    <t>BARBER0026</t>
  </si>
  <si>
    <t>CEPILLO PARA BARBA PEQUEÑO THE BARBERSHOP</t>
  </si>
  <si>
    <t>SALO0710</t>
  </si>
  <si>
    <t>CEPILLO PARA LIMPIAR BROCHA</t>
  </si>
  <si>
    <t>BARBER0062</t>
  </si>
  <si>
    <t>CERA ARCILLA BARBERSHOP X190GR</t>
  </si>
  <si>
    <t>BARBER0116</t>
  </si>
  <si>
    <t>CERA BLACK BARBERSHOP X 190G</t>
  </si>
  <si>
    <t>BARBER0069</t>
  </si>
  <si>
    <t>CERA CRISTALINA BARBERSHOP X 190G</t>
  </si>
  <si>
    <t>BARBER0030</t>
  </si>
  <si>
    <t>CERA CX BARBERSHOP X190G</t>
  </si>
  <si>
    <t>BARBER0112</t>
  </si>
  <si>
    <t>CERA MOLDEADORA BARBERSHOP KIDS X85G</t>
  </si>
  <si>
    <t>BARBER0114</t>
  </si>
  <si>
    <t>CERA MOSTACHO X 80G BARBERSHOP</t>
  </si>
  <si>
    <t>BARBER0007</t>
  </si>
  <si>
    <t>CERA THE BARBERSHOP X190G</t>
  </si>
  <si>
    <t>BARBER0115</t>
  </si>
  <si>
    <t>CERA SHAMPOO COLONIA JUGUETE BARBERSHOP KIDS OFERTA ESPECIAL</t>
  </si>
  <si>
    <t>BARBER0118</t>
  </si>
  <si>
    <t>COLONIA THE BARBERSHOP KIDS X 150ML</t>
  </si>
  <si>
    <t>BOSL0012</t>
  </si>
  <si>
    <t>CREMA EXFOLIANTE CHOCOLATE</t>
  </si>
  <si>
    <t>1000GR</t>
  </si>
  <si>
    <t>BOSL0091</t>
  </si>
  <si>
    <t>CREMA EXFOLIANTE TIRAMISU</t>
  </si>
  <si>
    <t>BOSL0038</t>
  </si>
  <si>
    <t>500GR</t>
  </si>
  <si>
    <t>PEAR0068</t>
  </si>
  <si>
    <t>CREMA EXFOLIANTE  X 25O GR</t>
  </si>
  <si>
    <t>BOSL0090</t>
  </si>
  <si>
    <t>CREMA EXFOLIANTE NARANJA</t>
  </si>
  <si>
    <t>BOSL0040</t>
  </si>
  <si>
    <t>BOSL0089</t>
  </si>
  <si>
    <t>CREMA EXFOLIANTE FRESA</t>
  </si>
  <si>
    <t>PEAR0005</t>
  </si>
  <si>
    <t>CREMA HUMECTANTE X 975 GR</t>
  </si>
  <si>
    <t>ALMENDRAS</t>
  </si>
  <si>
    <t>PEAR0004</t>
  </si>
  <si>
    <t>AVENA</t>
  </si>
  <si>
    <t>PEAR0006</t>
  </si>
  <si>
    <t>FRUTOS ROJOS</t>
  </si>
  <si>
    <t>PEAR0015</t>
  </si>
  <si>
    <t>FLOR DE CEREZO</t>
  </si>
  <si>
    <t>BOSL0044</t>
  </si>
  <si>
    <t>CREMA SATINADA X 120 GR</t>
  </si>
  <si>
    <t>SALO0084</t>
  </si>
  <si>
    <t>CUBO PULIDOR BLANCO X 10 UNDS</t>
  </si>
  <si>
    <t>BARBER0012</t>
  </si>
  <si>
    <t>GEL AFEITAR BARBERSHOP</t>
  </si>
  <si>
    <t>250ML</t>
  </si>
  <si>
    <t>BARBER0013</t>
  </si>
  <si>
    <t>500ML</t>
  </si>
  <si>
    <t>BARBER0014</t>
  </si>
  <si>
    <t>1000ML</t>
  </si>
  <si>
    <t>BARUP0008</t>
  </si>
  <si>
    <t>GEL EXTRAFUERTE BARBER UP</t>
  </si>
  <si>
    <t>280GR</t>
  </si>
  <si>
    <t>BOSL0034</t>
  </si>
  <si>
    <t>GEL HIDRATANTE AFTER SUN ALOE VERA</t>
  </si>
  <si>
    <t>BARUP0017</t>
  </si>
  <si>
    <t>GEL PARA AFEITAR BARBER UP</t>
  </si>
  <si>
    <t>1000ml</t>
  </si>
  <si>
    <t>SALO0208</t>
  </si>
  <si>
    <t>GORRA BARBERSHOP</t>
  </si>
  <si>
    <t>TIJERA - GRIS- PLANA</t>
  </si>
  <si>
    <t>7707320474063-g</t>
  </si>
  <si>
    <t>MOSTACHO-NEGRA - PLANA</t>
  </si>
  <si>
    <t>BARBER UP-GRIS -  PLANA</t>
  </si>
  <si>
    <t>TIJERA-CAFÉ-VISERA CURVA</t>
  </si>
  <si>
    <t>BARBER-POOL-AZUL - PLANA</t>
  </si>
  <si>
    <t>CUCHILLA-MARRON - PLANA</t>
  </si>
  <si>
    <t>SALO0210</t>
  </si>
  <si>
    <t>GORRA BARBERSHOP KIDS</t>
  </si>
  <si>
    <t>MOSTACHO-NEGRO</t>
  </si>
  <si>
    <t>SALO0116</t>
  </si>
  <si>
    <t>GORRO DE BAÑO ESTAMPADO 720 BT-236</t>
  </si>
  <si>
    <t>SURTIDOS</t>
  </si>
  <si>
    <t>PEAR0110</t>
  </si>
  <si>
    <t>HAIR FOOD COCO</t>
  </si>
  <si>
    <t>100 G</t>
  </si>
  <si>
    <t>PEAR0055</t>
  </si>
  <si>
    <t>HAIR FOOD</t>
  </si>
  <si>
    <t>100 GR</t>
  </si>
  <si>
    <t>PEAR0054</t>
  </si>
  <si>
    <t>185 GR</t>
  </si>
  <si>
    <t>SALO0075</t>
  </si>
  <si>
    <t>HENNA PARA CEJAS HINDU</t>
  </si>
  <si>
    <t>CASTAÑO CLARO</t>
  </si>
  <si>
    <t>BARBER0066</t>
  </si>
  <si>
    <t>KIT ALISADOR AFRO</t>
  </si>
  <si>
    <t>POTE</t>
  </si>
  <si>
    <t>SALO0874</t>
  </si>
  <si>
    <t>LIMA DE UNAS EN FOMI BOSLEY X 25UND</t>
  </si>
  <si>
    <t>BOSL0123</t>
  </si>
  <si>
    <t>LIMPIADOR DE BROCHAS X120 GR</t>
  </si>
  <si>
    <t>BARUP0005</t>
  </si>
  <si>
    <t>LOCION REFRESCANTE BARBER UP</t>
  </si>
  <si>
    <t>770732047893I</t>
  </si>
  <si>
    <t>BARUP0018</t>
  </si>
  <si>
    <t>BARBER0008</t>
  </si>
  <si>
    <t>LOCION REFRESCANTE BARBERSHOP</t>
  </si>
  <si>
    <t>BARBER0019</t>
  </si>
  <si>
    <t>SALO0832</t>
  </si>
  <si>
    <t>PINCEL 0832</t>
  </si>
  <si>
    <t>SALO0833</t>
  </si>
  <si>
    <t>PINCEL</t>
  </si>
  <si>
    <t>SALO0173</t>
  </si>
  <si>
    <t>PINCEL DIFUMINADOR DE LUJO</t>
  </si>
  <si>
    <t>SALO0700</t>
  </si>
  <si>
    <t>PINCEL PARA CORRECTOR</t>
  </si>
  <si>
    <t>SALO0005</t>
  </si>
  <si>
    <t>PINCEL PARA DECORAR UÑAS 000 X UND</t>
  </si>
  <si>
    <t>SALO0830</t>
  </si>
  <si>
    <t>PINCEL PARA SOMBRA</t>
  </si>
  <si>
    <t>BOSL0147</t>
  </si>
  <si>
    <t>POLVO COMPACTO BOSLEY X UND</t>
  </si>
  <si>
    <t>TONO # 1</t>
  </si>
  <si>
    <t>TONO # 2</t>
  </si>
  <si>
    <t>TONO # 3</t>
  </si>
  <si>
    <t>TONO # 4</t>
  </si>
  <si>
    <t>BARBER0108</t>
  </si>
  <si>
    <t>POLVO COMPACTO MIXTO BARBERSHOP</t>
  </si>
  <si>
    <t>XUND</t>
  </si>
  <si>
    <t>SALO0360</t>
  </si>
  <si>
    <t>POMO ESPUMA IMPORTADA X 3 SURTIDA</t>
  </si>
  <si>
    <t>SALO0584</t>
  </si>
  <si>
    <t>POMO FACIAL COLORES OVALADO</t>
  </si>
  <si>
    <t>SALO0585</t>
  </si>
  <si>
    <t>POMO GOTERO EN LATEX DE COLORES</t>
  </si>
  <si>
    <t>SALO0798</t>
  </si>
  <si>
    <t>POMO SILICONADO</t>
  </si>
  <si>
    <t>BARBER0074</t>
  </si>
  <si>
    <t>PORTACAPA CON IMAN BARBERSHOP</t>
  </si>
  <si>
    <t>ROJO</t>
  </si>
  <si>
    <t>SALO0697</t>
  </si>
  <si>
    <t>SET DE BROCHAS NEGRO X 12 UNDS</t>
  </si>
  <si>
    <t>SALO0696</t>
  </si>
  <si>
    <t>SET DE BROCHAS NEGRO X 15 UNDS</t>
  </si>
  <si>
    <t>SALO0709</t>
  </si>
  <si>
    <t>SET DE BROCHAS OVAL</t>
  </si>
  <si>
    <t>SALO0774</t>
  </si>
  <si>
    <t>SET DE BROCHAS OVAL CABO DE LUJO X 5 UND</t>
  </si>
  <si>
    <t>SALO0771</t>
  </si>
  <si>
    <t>SET DE BROCHAS PROFESIONAL X 24 UNDS</t>
  </si>
  <si>
    <t>NEGRO</t>
  </si>
  <si>
    <t>BARUP0012</t>
  </si>
  <si>
    <t>SHAMPOO BARBER UP</t>
  </si>
  <si>
    <t>1L</t>
  </si>
  <si>
    <t>BARUP0013</t>
  </si>
  <si>
    <t>BOSL0015</t>
  </si>
  <si>
    <t>SPLASH BARBERSHOP MILLON X 250 ML</t>
  </si>
  <si>
    <t>MILLON</t>
  </si>
  <si>
    <t>BARBER0005</t>
  </si>
  <si>
    <t>SUERO MINERAL OIL BARBERSHOP</t>
  </si>
  <si>
    <t>60ML</t>
  </si>
  <si>
    <t>BARBER UP-GRIS</t>
  </si>
  <si>
    <t>GRIS</t>
  </si>
  <si>
    <t>AZUL</t>
  </si>
  <si>
    <t>BOSL0155</t>
  </si>
  <si>
    <t>PRIMER MAKEUP ULTRALUXE</t>
  </si>
  <si>
    <t>CASTAÑO MEDIO</t>
  </si>
  <si>
    <t>CASTAÑO OSCURO</t>
  </si>
  <si>
    <t>BARBERIA AZUL BARBERSHOP</t>
  </si>
  <si>
    <t>BARBERIA AZUL BLANCA</t>
  </si>
  <si>
    <t>BARBERIA BARBERSHOP BLANCA</t>
  </si>
  <si>
    <t>BARBERIA BLACK ESTAMPADO GRANDE</t>
  </si>
  <si>
    <t>BARBERIA BLACK ESTAMPADO PEQUEÑO</t>
  </si>
  <si>
    <t>BARBERIA ILUSTRACION</t>
  </si>
  <si>
    <t>MAKEUP</t>
  </si>
  <si>
    <t>NEGRA MAQUILLAJE</t>
  </si>
  <si>
    <t>PELUQUERIA AZUL CLARO</t>
  </si>
  <si>
    <t>PELUQUERIA BLANCO</t>
  </si>
  <si>
    <t>ROJO ESTRELLAS</t>
  </si>
  <si>
    <t>PELUQUERIA ROSA</t>
  </si>
  <si>
    <t>PEAR0112</t>
  </si>
  <si>
    <t>185 G</t>
  </si>
  <si>
    <t>FUCSIA</t>
  </si>
  <si>
    <t>ORO ROSA</t>
  </si>
  <si>
    <t>CAFE</t>
  </si>
  <si>
    <t>BOSL0158</t>
  </si>
  <si>
    <t>LECHE DESMAQUILLANTE BOSLEY X 120ML</t>
  </si>
  <si>
    <t>BOSL0159</t>
  </si>
  <si>
    <t>SUERO FACIAL X 30ML BOSLEY</t>
  </si>
  <si>
    <t>BARBER0127</t>
  </si>
  <si>
    <t>SHAMPOO CON BIOCAPIGEN PARA BARBA Y CABELLO X 250ML BARBERSHOP</t>
  </si>
  <si>
    <t>BOSL0156</t>
  </si>
  <si>
    <t>MANTEQUILLA CORPORAL BOSLEY X185G</t>
  </si>
  <si>
    <t>TROPICAL BEACH</t>
  </si>
  <si>
    <t>BOSL0157</t>
  </si>
  <si>
    <t>AMBER AMORIO</t>
  </si>
  <si>
    <t>BOSL0160</t>
  </si>
  <si>
    <t>AGUA MICELAR BOSLEY X250ML</t>
  </si>
  <si>
    <t>S/A</t>
  </si>
  <si>
    <t>BARBERPOOL - MALLA - CURVA</t>
  </si>
  <si>
    <t>TIJERA BARBERSHOP -NEGRA- CURVA</t>
  </si>
  <si>
    <t>BARBER NEGRA -CURVA</t>
  </si>
  <si>
    <t>BARBERPOOL - CAFE NEGRA - CURVA</t>
  </si>
  <si>
    <t>BOSL0165</t>
  </si>
  <si>
    <t>BODY SPLASH BOSLEY FRAGANCIAS SURTIDAS</t>
  </si>
  <si>
    <t>COCONUT BREEZE</t>
  </si>
  <si>
    <t>BOSL0162</t>
  </si>
  <si>
    <t>ROMANTIC GIRL</t>
  </si>
  <si>
    <t>BOSL0164</t>
  </si>
  <si>
    <t>SWETTE</t>
  </si>
  <si>
    <t>BOSL0166</t>
  </si>
  <si>
    <t>BELLA BLOOM</t>
  </si>
  <si>
    <t>BOSL0163</t>
  </si>
  <si>
    <t>VAINILLA DREAM</t>
  </si>
  <si>
    <t>PEAR0115</t>
  </si>
  <si>
    <t>JABON 2 EN 1 MANOS Y CUERPO X 500ML</t>
  </si>
  <si>
    <t>PEAR0114</t>
  </si>
  <si>
    <t>COCO</t>
  </si>
  <si>
    <t>BARUP0022</t>
  </si>
  <si>
    <t>CERA MOLDEADORA X 80G DOYPACK BARBER UP</t>
  </si>
  <si>
    <t>BARUP0023</t>
  </si>
  <si>
    <t>ACEITE PARA BARBA X 25ML BARBER UP</t>
  </si>
  <si>
    <t>BARBER0130</t>
  </si>
  <si>
    <t>SHAMPOO  CAPILAR SIN SALES</t>
  </si>
  <si>
    <t>2000ML</t>
  </si>
  <si>
    <t>BARBER0131</t>
  </si>
  <si>
    <t>SALO0926</t>
  </si>
  <si>
    <t>POMO TRIANGULAR PARA MAQUILLAJE TERCIO PELO  X 3 UND BOSLEY</t>
  </si>
  <si>
    <t>BARUP0024</t>
  </si>
  <si>
    <t>CERA MOLDEADORA Y FIJADORA SPYDER X 160G BARBER UP</t>
  </si>
  <si>
    <t>BARBER0132</t>
  </si>
  <si>
    <t>BALSAMO BARBA Y CABELLO X 120 BARBERSHOP</t>
  </si>
  <si>
    <t>BOSL0167</t>
  </si>
  <si>
    <t>SHAMPOO CAPILAR BOSLEY</t>
  </si>
  <si>
    <t>BARBER0133</t>
  </si>
  <si>
    <t>GEL CAPILAR EXTRAFUERTE BARBERSHOP</t>
  </si>
  <si>
    <t>200 ML</t>
  </si>
  <si>
    <t>BARBER0134</t>
  </si>
  <si>
    <t>CERA NITROWAX X 90G</t>
  </si>
  <si>
    <t>BOSL0170</t>
  </si>
  <si>
    <t>CREMA FACIAL VITAMINA C Y ACIDO HIALURONICO X 50G BOSLEY</t>
  </si>
  <si>
    <t>BOSL0175</t>
  </si>
  <si>
    <t>MANT. CORP. BOSLEY  COCO LOVE X100G</t>
  </si>
  <si>
    <t>COCO LOVE</t>
  </si>
  <si>
    <t>BOSL0018</t>
  </si>
  <si>
    <t>SPLASH BARBERSHOP VICTOR X 250 ML</t>
  </si>
  <si>
    <t>BOSL0041</t>
  </si>
  <si>
    <t>SPLASH BARBERSHOP 300% X 250 ML</t>
  </si>
  <si>
    <t>BOSL0050</t>
  </si>
  <si>
    <t>SPLASH BARBERSHOP VOLTAJE X 250 ML</t>
  </si>
  <si>
    <t>BARBER0135</t>
  </si>
  <si>
    <t>PAPEL PARA CUELLOS NEGRO X5 ROLLOS BARBERSHOP</t>
  </si>
  <si>
    <t>BARUP0026</t>
  </si>
  <si>
    <t>2000g</t>
  </si>
  <si>
    <t>BARUP0027</t>
  </si>
  <si>
    <t>COLONIA WHITE CROC BARBER UP X 1000ML</t>
  </si>
  <si>
    <t>BOSL0178</t>
  </si>
  <si>
    <t>AUTOBRONCEADOR EN SACHET  X 12UND *30G</t>
  </si>
  <si>
    <t>BOSL0179</t>
  </si>
  <si>
    <t>POLIMERO CAPILAR CON FILTRO UV Y VITAMINA E BOSLEY X 30ML</t>
  </si>
  <si>
    <t>POLIMERO CAPILAR X30ML</t>
  </si>
  <si>
    <t>BOSL0180</t>
  </si>
  <si>
    <t>POLIMERO CAPILAR CON FILTRO UV Y VITAMINA E BOSLEY X 60ML</t>
  </si>
  <si>
    <t>POLIMERO CAPILAR  X 60ML</t>
  </si>
  <si>
    <t>BARBER0142</t>
  </si>
  <si>
    <t>SHAMPOO BARBERSHOP X 400ML</t>
  </si>
  <si>
    <t>BARUP0029</t>
  </si>
  <si>
    <t>CERA DUAL HOOD SHINE - RED LINE</t>
  </si>
  <si>
    <t>X 160G</t>
  </si>
  <si>
    <t>BARUP0030</t>
  </si>
  <si>
    <t>CERA DUAL WHITE LEVEL - NEON WAVE</t>
  </si>
  <si>
    <t>BARUP0028</t>
  </si>
  <si>
    <t>CERA DUAL GOLDEN FLOW - STREET KING</t>
  </si>
  <si>
    <t>PEAR0118</t>
  </si>
  <si>
    <t xml:space="preserve">SHOT  CAPILAR NUTRI MIX X 12UND *15ML </t>
  </si>
  <si>
    <t>PEAR0116</t>
  </si>
  <si>
    <t xml:space="preserve">SHOT CAPILAR ACIDO HIALURONICO X 12UND *15ML </t>
  </si>
  <si>
    <t>PEAR0120</t>
  </si>
  <si>
    <t>SHOT CAPILAR LINSEED DROPSX12UND *15ML</t>
  </si>
  <si>
    <t>PEAR0119</t>
  </si>
  <si>
    <t xml:space="preserve">SHOT CAPILAR REVITALIZING HAIR BOOSTX 12UND * 15ML </t>
  </si>
  <si>
    <t>CLASS001</t>
  </si>
  <si>
    <t>PORTADOCUMENTOS DE RESORTE CLASS</t>
  </si>
  <si>
    <t>CLASS006</t>
  </si>
  <si>
    <t>PERFUME CLASS MEN'S</t>
  </si>
  <si>
    <t>BARBER0143</t>
  </si>
  <si>
    <t>SHOT TONICO CAPILAR CONTTROL CAIDA X12UND *15ML</t>
  </si>
  <si>
    <t xml:space="preserve">SHAMPOO BARUP X 2000 </t>
  </si>
  <si>
    <t>SHAMPOO BARUP X 1000</t>
  </si>
  <si>
    <t>CERA NITRO WAX X90</t>
  </si>
  <si>
    <t xml:space="preserve">MANTEQUILLA CORPORAL X 100 </t>
  </si>
  <si>
    <t>HAIRFOOD COCO X 100G</t>
  </si>
  <si>
    <t>HAIRFOOD COCO X 185G</t>
  </si>
  <si>
    <t>HAIRFOOD  X 100G</t>
  </si>
  <si>
    <t>HAIRFOOD  X 185G</t>
  </si>
  <si>
    <t>PEAR0080</t>
  </si>
  <si>
    <t>TRATAMIENTO SEMILLAS LINO SANCHET X UND</t>
  </si>
  <si>
    <t>CAJA X24UND SACHET</t>
  </si>
  <si>
    <t>PEAR0078</t>
  </si>
  <si>
    <t>TRATAMIENTO PATO SACHET X UND</t>
  </si>
  <si>
    <t>PEAR0081</t>
  </si>
  <si>
    <t xml:space="preserve">TRATAMIENTO  REPARACION SACHET X UND </t>
  </si>
  <si>
    <t>PEAR0079</t>
  </si>
  <si>
    <t xml:space="preserve">TRATAMIENTO GUSANO DE SEDA SACHET X UND </t>
  </si>
  <si>
    <t>BARBER0021</t>
  </si>
  <si>
    <t xml:space="preserve">LOCION TONICA CAPILAR MXD5 X 60 ML HOMBRE </t>
  </si>
  <si>
    <t>BOSL0154</t>
  </si>
  <si>
    <t xml:space="preserve">LOCION TONICA CAPILAR MXD5 X 60 ML MUJER </t>
  </si>
  <si>
    <t>BARBER0126</t>
  </si>
  <si>
    <t>CERA VIBRNATE CON CBD Y TRICHOGEN  X 190G BARBERSHOP</t>
  </si>
  <si>
    <t>BARBER0077</t>
  </si>
  <si>
    <t xml:space="preserve">MORRAL NEGRO BARBERSHOP </t>
  </si>
  <si>
    <t xml:space="preserve">MORRAL GRIS  BARBERSHOP </t>
  </si>
  <si>
    <t>PUBLI0010</t>
  </si>
  <si>
    <t xml:space="preserve">TULAS BARBERSHOP </t>
  </si>
  <si>
    <t xml:space="preserve">NO APLICA </t>
  </si>
  <si>
    <t>PUBLI0011</t>
  </si>
  <si>
    <t xml:space="preserve">TULAS BOSLEY </t>
  </si>
  <si>
    <t>CLASS007</t>
  </si>
  <si>
    <t xml:space="preserve">RIÑONERA CLASS-MEN </t>
  </si>
  <si>
    <t>CLASS004</t>
  </si>
  <si>
    <t>CARTUCHERA DOBLE CIERRE CABALLEROCLASS-MEN</t>
  </si>
  <si>
    <t>PORTADOCUMENTOS CLASS-MEN</t>
  </si>
  <si>
    <t>CLASS002</t>
  </si>
  <si>
    <t>BOLSOS VIAJERO CLASS-MEN´S</t>
  </si>
  <si>
    <t>SALO0698</t>
  </si>
  <si>
    <t xml:space="preserve">SET DE BROCHAS ESTAMPADO X 12 UNDS </t>
  </si>
  <si>
    <t>SALO0532</t>
  </si>
  <si>
    <t>EXHIBIDOR CEPILLOS X 36 UND</t>
  </si>
  <si>
    <t>ROSA PASTEL</t>
  </si>
  <si>
    <t xml:space="preserve">MPCAJ041 </t>
  </si>
  <si>
    <t>CAJA PARA KIT BARBERSHOP</t>
  </si>
  <si>
    <t>MPCAJ042</t>
  </si>
  <si>
    <t>CAJA PARA KITS BOSLEY</t>
  </si>
  <si>
    <t> 7707320478719</t>
  </si>
  <si>
    <t> 7707320478603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</si>
</sst>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1" fontId="0" fillId="0" borderId="0" xfId="0" applyNumberFormat="1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wrapText="1"/>
    </xf>
    <xf numFmtId="0" fontId="2" fillId="0" borderId="0" xfId="2" applyFont="1" applyAlignment="1">
      <alignment horizontal="left" vertical="center" wrapText="1"/>
    </xf>
    <xf numFmtId="0" fontId="3" fillId="0" borderId="0" xfId="2" applyFont="1"/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right" vertical="center" wrapText="1"/>
    </xf>
    <xf numFmtId="1" fontId="0" fillId="0" borderId="0" xfId="1" applyNumberFormat="1" applyFont="1"/>
    <xf numFmtId="1" fontId="0" fillId="0" borderId="0" xfId="1" applyNumberFormat="1" applyFont="1" applyFill="1" applyBorder="1"/>
    <xf numFmtId="1" fontId="3" fillId="0" borderId="0" xfId="0" applyNumberFormat="1" applyFont="1"/>
  </cellXfs>
  <cellStyles count="3"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EDIDO%20BAZAR%20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DIDO"/>
      <sheetName val="OFERTAS "/>
      <sheetName val="PLANTILLA CRISTIAN"/>
    </sheetNames>
    <sheetDataSet>
      <sheetData sheetId="0">
        <row r="3">
          <cell r="A3" t="str">
            <v>BARBER0004</v>
          </cell>
          <cell r="B3" t="str">
            <v>AFTER SHAVE THE BARBERSHOP X 120G</v>
          </cell>
          <cell r="C3">
            <v>36</v>
          </cell>
          <cell r="D3">
            <v>20000</v>
          </cell>
        </row>
        <row r="4">
          <cell r="A4" t="str">
            <v>BARBER0005</v>
          </cell>
          <cell r="B4" t="str">
            <v>SUERO MINERAL OIL BARBERSHOP X60 ML</v>
          </cell>
          <cell r="C4">
            <v>36</v>
          </cell>
          <cell r="D4">
            <v>17000</v>
          </cell>
        </row>
        <row r="5">
          <cell r="A5" t="str">
            <v>BARBER0007</v>
          </cell>
          <cell r="B5" t="str">
            <v>CERA THE BARBERSHOP X190G</v>
          </cell>
          <cell r="C5">
            <v>105</v>
          </cell>
          <cell r="D5">
            <v>20000</v>
          </cell>
        </row>
        <row r="6">
          <cell r="A6" t="str">
            <v>BARBER0008</v>
          </cell>
          <cell r="B6" t="str">
            <v>LOCION REFRESCANTE BARBERSHOP X250 ML</v>
          </cell>
          <cell r="C6">
            <v>56</v>
          </cell>
          <cell r="D6">
            <v>15000</v>
          </cell>
        </row>
        <row r="7">
          <cell r="A7" t="str">
            <v>BARBER0012</v>
          </cell>
          <cell r="B7" t="str">
            <v>GEL AFEITAR BARBERSHOP 250ML</v>
          </cell>
          <cell r="C7">
            <v>56</v>
          </cell>
          <cell r="D7">
            <v>15000</v>
          </cell>
        </row>
        <row r="8">
          <cell r="A8" t="str">
            <v>BARBER0013</v>
          </cell>
          <cell r="B8" t="str">
            <v>GEL AFEITAR BARBERSHOP 500ML</v>
          </cell>
          <cell r="C8">
            <v>35</v>
          </cell>
          <cell r="D8">
            <v>18000</v>
          </cell>
        </row>
        <row r="9">
          <cell r="A9" t="str">
            <v>BARBER0014</v>
          </cell>
          <cell r="B9" t="str">
            <v>GEL AFEITAR BARBERSHOP 1000ML</v>
          </cell>
          <cell r="C9">
            <v>5</v>
          </cell>
          <cell r="D9">
            <v>23000</v>
          </cell>
          <cell r="E9" t="str">
            <v>en la misma caja</v>
          </cell>
        </row>
        <row r="10">
          <cell r="A10" t="str">
            <v>BARBER0019</v>
          </cell>
          <cell r="B10" t="str">
            <v>LOCION REFRESCANTE BARBERSHOP X 1000 ML</v>
          </cell>
          <cell r="C10">
            <v>15</v>
          </cell>
          <cell r="D10">
            <v>25000</v>
          </cell>
          <cell r="E10" t="str">
            <v>en la misma caja</v>
          </cell>
        </row>
        <row r="11">
          <cell r="A11" t="str">
            <v>BARBER0026</v>
          </cell>
          <cell r="B11" t="str">
            <v>CEPILLO PARA BARBA  PEQUEÑO THE BARBERSHOP</v>
          </cell>
          <cell r="C11">
            <v>24</v>
          </cell>
          <cell r="D11">
            <v>5000</v>
          </cell>
        </row>
        <row r="12">
          <cell r="A12" t="str">
            <v>BARBER0030</v>
          </cell>
          <cell r="B12" t="str">
            <v>CERA THE BARBERSHOP CX X 190GR</v>
          </cell>
          <cell r="C12">
            <v>53</v>
          </cell>
          <cell r="D12">
            <v>20000</v>
          </cell>
        </row>
        <row r="13">
          <cell r="A13" t="str">
            <v>BARBER0062</v>
          </cell>
          <cell r="B13" t="str">
            <v>CERA ARCILLA BARBERSHOP CAPILAR 190G</v>
          </cell>
          <cell r="C13">
            <v>52</v>
          </cell>
          <cell r="D13">
            <v>25000</v>
          </cell>
        </row>
        <row r="14">
          <cell r="A14" t="str">
            <v>BARBER0066</v>
          </cell>
          <cell r="B14" t="str">
            <v>KIT ALISADOR AFRO BARBERSHOP 5 MIN X 320G</v>
          </cell>
          <cell r="C14">
            <v>12</v>
          </cell>
          <cell r="D14">
            <v>45000</v>
          </cell>
        </row>
        <row r="15">
          <cell r="A15" t="str">
            <v>BARBER0069</v>
          </cell>
          <cell r="B15" t="str">
            <v>CERA CRISTALINA BARBERSHOP X 190G</v>
          </cell>
          <cell r="C15">
            <v>52</v>
          </cell>
          <cell r="D15">
            <v>25000</v>
          </cell>
        </row>
        <row r="16">
          <cell r="A16" t="str">
            <v>BARBER0074</v>
          </cell>
          <cell r="B16" t="str">
            <v>PORTACAPA CON IMAN BARBERSHOP</v>
          </cell>
          <cell r="C16">
            <v>24</v>
          </cell>
          <cell r="D16">
            <v>19000</v>
          </cell>
        </row>
        <row r="17">
          <cell r="A17" t="str">
            <v>BARBER0101</v>
          </cell>
          <cell r="B17" t="str">
            <v>ACEITE PARA BARBA THE BARBERSHOP X30ML</v>
          </cell>
          <cell r="C17">
            <v>60</v>
          </cell>
          <cell r="D17">
            <v>18000</v>
          </cell>
        </row>
        <row r="18">
          <cell r="A18" t="str">
            <v>BARBER0108</v>
          </cell>
          <cell r="B18" t="str">
            <v>POLVO COMPACTO MIXTO FOR MEN BARBERSHOP X UND</v>
          </cell>
          <cell r="C18">
            <v>18</v>
          </cell>
          <cell r="D18">
            <v>15000</v>
          </cell>
        </row>
        <row r="19">
          <cell r="A19" t="str">
            <v>BARBER0112</v>
          </cell>
          <cell r="B19" t="str">
            <v>CERA MOLDEADORA BARBERSHOP KIDS X85G</v>
          </cell>
          <cell r="C19">
            <v>12</v>
          </cell>
          <cell r="D19">
            <v>15000</v>
          </cell>
        </row>
        <row r="20">
          <cell r="A20" t="str">
            <v>BARBER0114</v>
          </cell>
          <cell r="B20" t="str">
            <v>CERA MOSTACHO X 80G BARBERSHOP</v>
          </cell>
          <cell r="C20">
            <v>36</v>
          </cell>
          <cell r="D20">
            <v>20000</v>
          </cell>
        </row>
        <row r="21">
          <cell r="A21" t="str">
            <v>BARBER0115</v>
          </cell>
          <cell r="B21" t="str">
            <v>CERA+SHAMPOO + COLONIA + JUGUETE  BARBERSHOP KIDS OFERTA ESPECIAL</v>
          </cell>
          <cell r="C21">
            <v>20</v>
          </cell>
          <cell r="D21">
            <v>45000</v>
          </cell>
          <cell r="E21" t="str">
            <v>antes 55000 ahora 45000</v>
          </cell>
        </row>
        <row r="22">
          <cell r="A22" t="str">
            <v>BARBER0116</v>
          </cell>
          <cell r="B22" t="str">
            <v>CERA BLACK BARBERSHOP X 190G</v>
          </cell>
          <cell r="C22">
            <v>53</v>
          </cell>
          <cell r="D22">
            <v>20000</v>
          </cell>
        </row>
        <row r="23">
          <cell r="A23" t="str">
            <v>BARBER0118</v>
          </cell>
          <cell r="B23" t="str">
            <v>COLONIA THE BARBERSHOP KIDS X 150ML</v>
          </cell>
          <cell r="C23">
            <v>12</v>
          </cell>
          <cell r="D23">
            <v>15000</v>
          </cell>
        </row>
        <row r="24">
          <cell r="A24" t="str">
            <v>BARBER0124</v>
          </cell>
          <cell r="B24" t="str">
            <v>BODY BUTTER  THE BARBERSHOP X 185G</v>
          </cell>
          <cell r="C24">
            <v>25</v>
          </cell>
          <cell r="D24">
            <v>20000</v>
          </cell>
          <cell r="E24" t="str">
            <v>2 X 35000</v>
          </cell>
        </row>
        <row r="25">
          <cell r="A25" t="str">
            <v>BARBER0127</v>
          </cell>
          <cell r="B25" t="str">
            <v>SHAMPOO CON TRICHOGEN BARBA Y CABELLO X 250ML BARBERSHOP</v>
          </cell>
          <cell r="C25">
            <v>80</v>
          </cell>
          <cell r="D25">
            <v>20000</v>
          </cell>
        </row>
        <row r="26">
          <cell r="A26" t="str">
            <v>BARBER0130</v>
          </cell>
          <cell r="B26" t="str">
            <v>SHAMPOO SIN SALES BARBERSHOP X 2000ML</v>
          </cell>
          <cell r="C26">
            <v>3</v>
          </cell>
          <cell r="D26">
            <v>25000</v>
          </cell>
        </row>
        <row r="27">
          <cell r="A27" t="str">
            <v>BARBER0131</v>
          </cell>
          <cell r="B27" t="str">
            <v>SHAMPOO SIN SALES BARBERSHOP X 1000ML</v>
          </cell>
          <cell r="C27">
            <v>12</v>
          </cell>
          <cell r="D27">
            <v>15000</v>
          </cell>
        </row>
        <row r="28">
          <cell r="A28" t="str">
            <v>BARBER0132</v>
          </cell>
          <cell r="B28" t="str">
            <v>BALSAMO PARA CABELLO Y BARBA X 120ML</v>
          </cell>
          <cell r="C28">
            <v>50</v>
          </cell>
          <cell r="D28">
            <v>15000</v>
          </cell>
        </row>
        <row r="29">
          <cell r="A29" t="str">
            <v>BARBER0133</v>
          </cell>
          <cell r="B29" t="str">
            <v>GEL EXTRAFUERTE X 200ML BARBERSHOP</v>
          </cell>
          <cell r="C29">
            <v>24</v>
          </cell>
          <cell r="D29">
            <v>15000</v>
          </cell>
        </row>
        <row r="30">
          <cell r="A30" t="str">
            <v>BARBER0143</v>
          </cell>
          <cell r="B30" t="str">
            <v>SHOT TONICO CAPILAR CONTTROL CAIDA X UND</v>
          </cell>
          <cell r="C30">
            <v>60</v>
          </cell>
          <cell r="D30">
            <v>5000</v>
          </cell>
        </row>
        <row r="31">
          <cell r="A31" t="str">
            <v>BARBER0142</v>
          </cell>
          <cell r="B31" t="str">
            <v xml:space="preserve">SHAMPOO BARBERSHOP X 400ML </v>
          </cell>
          <cell r="C31">
            <v>44</v>
          </cell>
          <cell r="D31">
            <v>15000</v>
          </cell>
        </row>
        <row r="32">
          <cell r="A32" t="str">
            <v>BARBER0135</v>
          </cell>
          <cell r="B32" t="str">
            <v xml:space="preserve">PAPEL PARA CUELLOS NEGRO X5 ROLLOS BARBERSHOP </v>
          </cell>
          <cell r="C32">
            <v>20</v>
          </cell>
          <cell r="D32">
            <v>20000</v>
          </cell>
        </row>
        <row r="33">
          <cell r="A33" t="str">
            <v>BARUP0005</v>
          </cell>
          <cell r="B33" t="str">
            <v>LOCION REFRESCANTE  BARBER UP  X250ML</v>
          </cell>
          <cell r="C33">
            <v>56</v>
          </cell>
          <cell r="D33">
            <v>10000</v>
          </cell>
        </row>
        <row r="34">
          <cell r="A34" t="str">
            <v>BARUP0008</v>
          </cell>
          <cell r="B34" t="str">
            <v>GEL EXTRAFUERTE BARBER UP X 280 GRS</v>
          </cell>
          <cell r="C34">
            <v>48</v>
          </cell>
          <cell r="D34">
            <v>10000</v>
          </cell>
        </row>
        <row r="35">
          <cell r="A35" t="str">
            <v>BARUP0017</v>
          </cell>
          <cell r="B35" t="str">
            <v>GEL PARA AFEITAR BARBER UP X 1000ML</v>
          </cell>
          <cell r="C35">
            <v>20</v>
          </cell>
          <cell r="D35">
            <v>19000</v>
          </cell>
        </row>
        <row r="36">
          <cell r="A36" t="str">
            <v>BARUP0022</v>
          </cell>
          <cell r="B36" t="str">
            <v>CERA MOLDEADORA  X 80G DOYPACK BARBER UP</v>
          </cell>
          <cell r="C36">
            <v>120</v>
          </cell>
          <cell r="D36">
            <v>8000</v>
          </cell>
        </row>
        <row r="37">
          <cell r="A37" t="str">
            <v>BARUP0023</v>
          </cell>
          <cell r="B37" t="str">
            <v>ACEITE PARA LA BARBA BARBER UP X 25ML</v>
          </cell>
          <cell r="C37">
            <v>36</v>
          </cell>
          <cell r="D37">
            <v>12000</v>
          </cell>
        </row>
        <row r="38">
          <cell r="A38" t="str">
            <v>BARUP0024</v>
          </cell>
          <cell r="B38" t="str">
            <v>CERA MOLDEADORA Y FIJADORA  SPIDER BARBER UP X160G</v>
          </cell>
          <cell r="C38">
            <v>120</v>
          </cell>
          <cell r="D38">
            <v>15000</v>
          </cell>
        </row>
        <row r="39">
          <cell r="A39" t="str">
            <v>BARUP0026</v>
          </cell>
          <cell r="B39" t="str">
            <v>GEL EXTRAFUERTE BARBER UP X 2000 GRS</v>
          </cell>
          <cell r="C39">
            <v>6</v>
          </cell>
          <cell r="D39">
            <v>30000</v>
          </cell>
        </row>
        <row r="40">
          <cell r="A40" t="str">
            <v>BARUP0027</v>
          </cell>
          <cell r="B40" t="str">
            <v>COLONIA WHITE CROC BARBER UP X 1000ML</v>
          </cell>
          <cell r="C40">
            <v>24</v>
          </cell>
          <cell r="D40">
            <v>18000</v>
          </cell>
        </row>
        <row r="41">
          <cell r="A41" t="str">
            <v>BARUP0028</v>
          </cell>
          <cell r="B41" t="str">
            <v>CERA DUAL GOLDEN FLOW-STREET KIMG X 160G</v>
          </cell>
          <cell r="C41">
            <v>35</v>
          </cell>
          <cell r="D41">
            <v>18000</v>
          </cell>
        </row>
        <row r="42">
          <cell r="A42" t="str">
            <v>BARUP0029</v>
          </cell>
          <cell r="B42" t="str">
            <v>CERA DUAL WHITE LEVEL - NEON WAVE X 160G</v>
          </cell>
          <cell r="C42">
            <v>35</v>
          </cell>
          <cell r="D42">
            <v>18000</v>
          </cell>
        </row>
        <row r="43">
          <cell r="A43" t="str">
            <v>BARUP0030</v>
          </cell>
          <cell r="B43" t="str">
            <v>CERA DUAL HOOD SHINE- RED LINE X 160G</v>
          </cell>
          <cell r="C43">
            <v>35</v>
          </cell>
          <cell r="D43">
            <v>18000</v>
          </cell>
        </row>
        <row r="44">
          <cell r="A44" t="str">
            <v>BOSL0012</v>
          </cell>
          <cell r="B44" t="str">
            <v>CREMA EXFOLIANTE BOSLEY CHOCOLATE 1000GR</v>
          </cell>
          <cell r="C44">
            <v>22</v>
          </cell>
          <cell r="D44">
            <v>18000</v>
          </cell>
        </row>
        <row r="45">
          <cell r="A45" t="str">
            <v>BOSL0015</v>
          </cell>
          <cell r="B45" t="str">
            <v>SPLASH BARBERSHOP MILLON X 250 ML</v>
          </cell>
          <cell r="C45">
            <v>56</v>
          </cell>
          <cell r="D45">
            <v>18000</v>
          </cell>
          <cell r="E45" t="str">
            <v>2X30000</v>
          </cell>
        </row>
        <row r="46">
          <cell r="A46" t="str">
            <v>BOSL0018</v>
          </cell>
          <cell r="B46" t="str">
            <v xml:space="preserve">VICTOR </v>
          </cell>
          <cell r="C46">
            <v>56</v>
          </cell>
          <cell r="D46">
            <v>18000</v>
          </cell>
          <cell r="E46" t="str">
            <v>2X30000</v>
          </cell>
        </row>
        <row r="47">
          <cell r="A47" t="str">
            <v>BOSL0050</v>
          </cell>
          <cell r="B47" t="str">
            <v>VOLTAGE</v>
          </cell>
          <cell r="C47">
            <v>56</v>
          </cell>
          <cell r="D47">
            <v>18000</v>
          </cell>
          <cell r="E47" t="str">
            <v>2X30000</v>
          </cell>
        </row>
        <row r="48">
          <cell r="A48" t="str">
            <v>BOSL0041</v>
          </cell>
          <cell r="B48">
            <v>3</v>
          </cell>
          <cell r="C48">
            <v>56</v>
          </cell>
          <cell r="D48">
            <v>18000</v>
          </cell>
          <cell r="E48" t="str">
            <v>2X30000</v>
          </cell>
        </row>
        <row r="49">
          <cell r="A49" t="str">
            <v>BOSL0038</v>
          </cell>
          <cell r="B49" t="str">
            <v>CREMA EXFOLIANTE BOSLEY TIRAMISU 500 GRS</v>
          </cell>
          <cell r="C49">
            <v>33</v>
          </cell>
          <cell r="D49">
            <v>15000</v>
          </cell>
          <cell r="E49" t="str">
            <v>2 X 25000</v>
          </cell>
        </row>
        <row r="50">
          <cell r="A50" t="str">
            <v>BOSL0040</v>
          </cell>
          <cell r="B50" t="str">
            <v>CREMA EXFOLIANTE NARANJA 1000GR</v>
          </cell>
          <cell r="C50">
            <v>22</v>
          </cell>
          <cell r="D50">
            <v>18000</v>
          </cell>
          <cell r="E50" t="str">
            <v>2X30000</v>
          </cell>
        </row>
        <row r="51">
          <cell r="A51" t="str">
            <v>BOSL0044</v>
          </cell>
          <cell r="B51" t="str">
            <v>CREMA SATINADA 120 GRMS BOSLEY</v>
          </cell>
          <cell r="C51">
            <v>12</v>
          </cell>
          <cell r="D51">
            <v>15000</v>
          </cell>
        </row>
        <row r="52">
          <cell r="A52" t="str">
            <v>BOSL0089</v>
          </cell>
          <cell r="B52" t="str">
            <v>CREMA EXFOLIANTE POSTRE DE FRESA 500 GR</v>
          </cell>
          <cell r="C52">
            <v>34</v>
          </cell>
          <cell r="D52">
            <v>15000</v>
          </cell>
          <cell r="E52" t="str">
            <v>2 X 25000</v>
          </cell>
        </row>
        <row r="53">
          <cell r="A53" t="str">
            <v>BOSL0090</v>
          </cell>
          <cell r="B53" t="str">
            <v>CREMA EXFOLIANTE NARANJA 500 GRS</v>
          </cell>
          <cell r="C53">
            <v>34</v>
          </cell>
          <cell r="D53">
            <v>15000</v>
          </cell>
          <cell r="E53" t="str">
            <v>2 X 25000</v>
          </cell>
        </row>
        <row r="54">
          <cell r="A54" t="str">
            <v>BOSL0091</v>
          </cell>
          <cell r="B54" t="str">
            <v>CREMA EXFOLIANTE BOSLEY TIRAMISU 1000 GR</v>
          </cell>
          <cell r="C54">
            <v>22</v>
          </cell>
          <cell r="D54">
            <v>18000</v>
          </cell>
          <cell r="E54" t="str">
            <v>2 X 30000</v>
          </cell>
        </row>
        <row r="55">
          <cell r="A55" t="str">
            <v>BOSL0147</v>
          </cell>
          <cell r="B55" t="str">
            <v>POLVO COMPACTO BOSLEY  X UND #4</v>
          </cell>
          <cell r="C55">
            <v>18</v>
          </cell>
          <cell r="D55">
            <v>10000</v>
          </cell>
        </row>
        <row r="56">
          <cell r="A56" t="str">
            <v>BOSL0147</v>
          </cell>
          <cell r="B56" t="str">
            <v>POLVO COMPACTO BOSLEY  X UND #3</v>
          </cell>
          <cell r="C56">
            <v>18</v>
          </cell>
          <cell r="D56">
            <v>10000</v>
          </cell>
        </row>
        <row r="57">
          <cell r="A57" t="str">
            <v>BOSL0147</v>
          </cell>
          <cell r="B57" t="str">
            <v>POLVO COMPACTO BOSLEY  X UND #4</v>
          </cell>
          <cell r="C57">
            <v>18</v>
          </cell>
          <cell r="D57">
            <v>10000</v>
          </cell>
        </row>
        <row r="58">
          <cell r="A58" t="str">
            <v>BOSL0150</v>
          </cell>
          <cell r="B58" t="str">
            <v>BETUN PARA CEJAS BOSLEY 4G MOKA # 2 + PINCEL DOBLE</v>
          </cell>
          <cell r="C58">
            <v>24</v>
          </cell>
          <cell r="D58">
            <v>10000</v>
          </cell>
        </row>
        <row r="59">
          <cell r="A59" t="str">
            <v>BOSL0155</v>
          </cell>
          <cell r="B59" t="str">
            <v>PRIMER MAKEUP ULTRALUXE</v>
          </cell>
          <cell r="C59">
            <v>12</v>
          </cell>
          <cell r="D59">
            <v>20000</v>
          </cell>
        </row>
        <row r="60">
          <cell r="A60" t="str">
            <v>BOSL0156</v>
          </cell>
          <cell r="B60" t="str">
            <v>MANTEQUILLA CORPORAL TROPICAL  BEACH SHIMMER BOSLEY 185GR</v>
          </cell>
          <cell r="C60">
            <v>25</v>
          </cell>
          <cell r="D60">
            <v>20000</v>
          </cell>
          <cell r="E60" t="str">
            <v>2x35000</v>
          </cell>
        </row>
        <row r="61">
          <cell r="A61" t="str">
            <v>BOSL0157</v>
          </cell>
          <cell r="B61" t="str">
            <v>MANTEQUILLA CORPORAL  AMBER AMORIO  SHIMMER BOSLEY 185GR</v>
          </cell>
          <cell r="C61">
            <v>25</v>
          </cell>
          <cell r="D61">
            <v>20000</v>
          </cell>
          <cell r="E61" t="str">
            <v>2x35000</v>
          </cell>
        </row>
        <row r="62">
          <cell r="A62" t="str">
            <v>BOSL0158</v>
          </cell>
          <cell r="B62" t="str">
            <v>LECHE  DESMAQUILLADORA  X 120ML BOSLEY</v>
          </cell>
          <cell r="C62">
            <v>12</v>
          </cell>
          <cell r="D62">
            <v>15000</v>
          </cell>
        </row>
        <row r="63">
          <cell r="A63" t="str">
            <v>BOSL0159</v>
          </cell>
          <cell r="B63" t="str">
            <v>SUERO FACIAL X 30ML BOSLEY</v>
          </cell>
          <cell r="C63">
            <v>70</v>
          </cell>
          <cell r="D63">
            <v>25000</v>
          </cell>
        </row>
        <row r="64">
          <cell r="A64" t="str">
            <v>BOSL0160</v>
          </cell>
          <cell r="B64" t="str">
            <v>AGUA MICELAR BOSLEY X 250ML</v>
          </cell>
          <cell r="C64">
            <v>42</v>
          </cell>
          <cell r="D64">
            <v>15000</v>
          </cell>
          <cell r="E64" t="str">
            <v>2x25000</v>
          </cell>
        </row>
        <row r="65">
          <cell r="A65" t="str">
            <v>BOSL0162</v>
          </cell>
          <cell r="B65" t="str">
            <v>SPLASH ROMANTIC GIRL X260 BOSLEY</v>
          </cell>
          <cell r="C65">
            <v>48</v>
          </cell>
          <cell r="D65">
            <v>20000</v>
          </cell>
          <cell r="E65" t="str">
            <v>2x35000</v>
          </cell>
        </row>
        <row r="66">
          <cell r="A66" t="str">
            <v>BOSL0163</v>
          </cell>
          <cell r="B66" t="str">
            <v>SPLASH VAINILLA DREAM X 260ML BOSLEY</v>
          </cell>
          <cell r="C66">
            <v>48</v>
          </cell>
          <cell r="D66">
            <v>20000</v>
          </cell>
          <cell r="E66" t="str">
            <v>2x35000</v>
          </cell>
        </row>
        <row r="67">
          <cell r="A67" t="str">
            <v>BOSL0164</v>
          </cell>
          <cell r="B67" t="str">
            <v>SPLASH SWETTE X 260ML BOSLEY</v>
          </cell>
          <cell r="C67">
            <v>48</v>
          </cell>
          <cell r="D67">
            <v>20000</v>
          </cell>
          <cell r="E67" t="str">
            <v>2x35000</v>
          </cell>
        </row>
        <row r="68">
          <cell r="A68" t="str">
            <v>BOSL0165</v>
          </cell>
          <cell r="B68" t="str">
            <v>SPLASH COCONUT BREEZE X 260ML BOSLEY</v>
          </cell>
          <cell r="C68">
            <v>43</v>
          </cell>
          <cell r="D68">
            <v>20000</v>
          </cell>
          <cell r="E68" t="str">
            <v>2x35000</v>
          </cell>
        </row>
        <row r="69">
          <cell r="A69" t="str">
            <v>BOSL0166</v>
          </cell>
          <cell r="B69" t="str">
            <v>SPLASH BELLA BLOOM X 260ML BOSLEY</v>
          </cell>
          <cell r="C69">
            <v>48</v>
          </cell>
          <cell r="D69">
            <v>20000</v>
          </cell>
          <cell r="E69" t="str">
            <v>2x35000</v>
          </cell>
        </row>
        <row r="70">
          <cell r="A70" t="str">
            <v>BOSL0167</v>
          </cell>
          <cell r="B70" t="str">
            <v>SHAMPOO SIN SALES X 1000ML  BOSLEY</v>
          </cell>
          <cell r="C70">
            <v>3</v>
          </cell>
          <cell r="D70">
            <v>15000</v>
          </cell>
        </row>
        <row r="71">
          <cell r="A71" t="str">
            <v>BOSL0170</v>
          </cell>
          <cell r="B71" t="str">
            <v>CREMA FACIAL VITAMINA C Y ACIDO HIALURONICO X 50G BOSLEY</v>
          </cell>
          <cell r="C71">
            <v>36</v>
          </cell>
          <cell r="D71">
            <v>25000</v>
          </cell>
        </row>
        <row r="72">
          <cell r="A72" t="str">
            <v>BOSL0178</v>
          </cell>
          <cell r="B72" t="str">
            <v>AUTOBRONCEADOR EN SACHET X 12 UND * 30G X UND</v>
          </cell>
          <cell r="C72">
            <v>144</v>
          </cell>
          <cell r="D72">
            <v>5000</v>
          </cell>
        </row>
        <row r="73">
          <cell r="A73" t="str">
            <v>BOSL0179</v>
          </cell>
          <cell r="B73" t="str">
            <v>POLIMERO CAPILAR CON FILTRO UV Y VITAMINA E BOSLEY X 30ML</v>
          </cell>
          <cell r="C73">
            <v>200</v>
          </cell>
          <cell r="D73">
            <v>6000</v>
          </cell>
        </row>
        <row r="74">
          <cell r="A74" t="str">
            <v>BOSL0180</v>
          </cell>
          <cell r="B74" t="str">
            <v>POLIMERO CAPILAR CON FILTRO UV Y VITAMINA E BOSLEY X 60ML</v>
          </cell>
          <cell r="C74">
            <v>200</v>
          </cell>
          <cell r="D74">
            <v>15000</v>
          </cell>
          <cell r="E74" t="str">
            <v xml:space="preserve">pague 1 lleve 2 </v>
          </cell>
        </row>
        <row r="75">
          <cell r="A75" t="str">
            <v>CLASS001</v>
          </cell>
          <cell r="B75" t="str">
            <v>PORTADOCUMENTOS DE RESORTE CLASS</v>
          </cell>
          <cell r="C75">
            <v>12</v>
          </cell>
          <cell r="D75">
            <v>45000</v>
          </cell>
        </row>
        <row r="76">
          <cell r="A76" t="str">
            <v>CLASS006</v>
          </cell>
          <cell r="B76" t="str">
            <v>PERFUME CLASS MEN'S</v>
          </cell>
          <cell r="C76">
            <v>12</v>
          </cell>
          <cell r="D76">
            <v>30000</v>
          </cell>
          <cell r="E76" t="str">
            <v>2X50000</v>
          </cell>
        </row>
        <row r="77">
          <cell r="A77" t="str">
            <v>PEAR0004</v>
          </cell>
          <cell r="B77" t="str">
            <v>CREMA HUMECTANTE AVENA X 975 G</v>
          </cell>
          <cell r="C77">
            <v>25</v>
          </cell>
          <cell r="D77">
            <v>20000</v>
          </cell>
          <cell r="E77" t="str">
            <v>2x35000</v>
          </cell>
        </row>
        <row r="78">
          <cell r="A78" t="str">
            <v>PEAR0005</v>
          </cell>
          <cell r="B78" t="str">
            <v>CREMA HUMECTANTE ALMENDRAS X 975 G</v>
          </cell>
          <cell r="C78">
            <v>25</v>
          </cell>
          <cell r="D78">
            <v>20000</v>
          </cell>
          <cell r="E78" t="str">
            <v>2x35000</v>
          </cell>
        </row>
        <row r="79">
          <cell r="A79" t="str">
            <v>PEAR0006</v>
          </cell>
          <cell r="B79" t="str">
            <v>CREMA HUMECTANTE FRUTOS ROJOS X 975 G</v>
          </cell>
          <cell r="C79">
            <v>25</v>
          </cell>
          <cell r="D79">
            <v>20000</v>
          </cell>
          <cell r="E79" t="str">
            <v>2x35000</v>
          </cell>
        </row>
        <row r="80">
          <cell r="A80" t="str">
            <v>PEAR0015</v>
          </cell>
          <cell r="B80" t="str">
            <v>CREMA HUMECTANTE FLOR DE CEREZO X 975ML</v>
          </cell>
          <cell r="C80">
            <v>25</v>
          </cell>
          <cell r="D80">
            <v>20000</v>
          </cell>
          <cell r="E80" t="str">
            <v>2x35000</v>
          </cell>
        </row>
        <row r="81">
          <cell r="A81" t="str">
            <v>PEAR0068</v>
          </cell>
          <cell r="B81" t="str">
            <v>CREMA EXFOLIANTE FACIAL PEAR COLLECTION X 25O G</v>
          </cell>
          <cell r="C81">
            <v>12</v>
          </cell>
          <cell r="D81">
            <v>18000</v>
          </cell>
        </row>
        <row r="82">
          <cell r="A82" t="str">
            <v>PEAR0114</v>
          </cell>
          <cell r="B82" t="str">
            <v>JABON 2 EN 1 MANOS Y CUERPO COCO X 500ML PEARL COLLECTION</v>
          </cell>
          <cell r="C82">
            <v>6</v>
          </cell>
          <cell r="D82">
            <v>10000</v>
          </cell>
        </row>
        <row r="83">
          <cell r="A83" t="str">
            <v>PEAR0115</v>
          </cell>
          <cell r="B83" t="str">
            <v>JABON 2 EN 1 MANOS Y CUERPO FRUTOS ROJOS X 500ML PEARL COLLECTION</v>
          </cell>
          <cell r="C83">
            <v>6</v>
          </cell>
          <cell r="D83">
            <v>10000</v>
          </cell>
        </row>
        <row r="84">
          <cell r="A84" t="str">
            <v>PEAR0118</v>
          </cell>
          <cell r="B84" t="str">
            <v xml:space="preserve">SHOT  CAPILAR NUTRI MIX X 12UND *15ML </v>
          </cell>
          <cell r="C84">
            <v>60</v>
          </cell>
          <cell r="D84">
            <v>5000</v>
          </cell>
        </row>
        <row r="85">
          <cell r="A85" t="str">
            <v>PEAR0116</v>
          </cell>
          <cell r="B85" t="str">
            <v xml:space="preserve">SHOT CAPILAR ACIDO HIALURONICO X 12UND *15ML </v>
          </cell>
          <cell r="C85">
            <v>60</v>
          </cell>
          <cell r="D85">
            <v>5000</v>
          </cell>
        </row>
        <row r="86">
          <cell r="A86" t="str">
            <v>PEAR0120</v>
          </cell>
          <cell r="B86" t="str">
            <v>SHOT CAPILAR LINSEED DROPSX12UND *15ML</v>
          </cell>
          <cell r="C86">
            <v>60</v>
          </cell>
          <cell r="D86">
            <v>5000</v>
          </cell>
        </row>
        <row r="87">
          <cell r="A87" t="str">
            <v>PEAR0119</v>
          </cell>
          <cell r="B87" t="str">
            <v xml:space="preserve">SHOT CAPILAR REVITALIZING HAIR BOOSTX 12UND * 15ML </v>
          </cell>
          <cell r="C87">
            <v>60</v>
          </cell>
          <cell r="D87">
            <v>5000</v>
          </cell>
        </row>
        <row r="88">
          <cell r="A88" t="str">
            <v>BOSL0151</v>
          </cell>
          <cell r="B88" t="str">
            <v xml:space="preserve">BETUN CEJAS CHOCOLATE </v>
          </cell>
          <cell r="C88">
            <v>24</v>
          </cell>
          <cell r="D88">
            <v>10000</v>
          </cell>
        </row>
        <row r="89">
          <cell r="A89" t="str">
            <v>BOSL0123</v>
          </cell>
          <cell r="B89" t="str">
            <v xml:space="preserve">LIMPIADOR DE BROCHAS X 120 </v>
          </cell>
          <cell r="C89">
            <v>11</v>
          </cell>
          <cell r="D89">
            <v>15000</v>
          </cell>
        </row>
        <row r="90">
          <cell r="A90" t="str">
            <v>BARUP0013</v>
          </cell>
          <cell r="B90" t="str">
            <v xml:space="preserve">SHAMPOO BARUP X 2000 </v>
          </cell>
          <cell r="C90">
            <v>7</v>
          </cell>
          <cell r="D90">
            <v>20000</v>
          </cell>
        </row>
        <row r="91">
          <cell r="A91" t="str">
            <v>BARUP0012</v>
          </cell>
          <cell r="B91" t="str">
            <v>SHAMPOO BARUP X 1000</v>
          </cell>
          <cell r="C91">
            <v>10</v>
          </cell>
          <cell r="D91">
            <v>15000</v>
          </cell>
        </row>
        <row r="92">
          <cell r="A92" t="str">
            <v>BARBER0134</v>
          </cell>
          <cell r="B92" t="str">
            <v>CERA NITRO WAX X90</v>
          </cell>
          <cell r="C92">
            <v>80</v>
          </cell>
          <cell r="D92">
            <v>15000</v>
          </cell>
        </row>
        <row r="93">
          <cell r="A93" t="str">
            <v>BOSL0175</v>
          </cell>
          <cell r="B93" t="str">
            <v xml:space="preserve">MANTEQUILLA CORPORAL X 100 </v>
          </cell>
          <cell r="C93">
            <v>80</v>
          </cell>
          <cell r="D93">
            <v>15000</v>
          </cell>
        </row>
        <row r="94">
          <cell r="A94" t="str">
            <v>PEAR0110</v>
          </cell>
          <cell r="B94" t="str">
            <v>HAIRFOOD COCO X 100G</v>
          </cell>
          <cell r="C94">
            <v>12</v>
          </cell>
          <cell r="D94">
            <v>15000</v>
          </cell>
        </row>
        <row r="95">
          <cell r="A95" t="str">
            <v>PEAR0112</v>
          </cell>
          <cell r="B95" t="str">
            <v>HAIRFOOD COCO X 185G</v>
          </cell>
          <cell r="C95">
            <v>12</v>
          </cell>
          <cell r="D95">
            <v>18000</v>
          </cell>
        </row>
        <row r="96">
          <cell r="A96" t="str">
            <v>PEAR0055</v>
          </cell>
          <cell r="B96" t="str">
            <v>HAIRFOOD  X 100G</v>
          </cell>
          <cell r="C96">
            <v>12</v>
          </cell>
          <cell r="D96">
            <v>13000</v>
          </cell>
        </row>
        <row r="97">
          <cell r="A97" t="str">
            <v>PEAR0054</v>
          </cell>
          <cell r="B97" t="str">
            <v>HAIRFOOD  X 185G</v>
          </cell>
          <cell r="C97">
            <v>12</v>
          </cell>
          <cell r="D97">
            <v>15000</v>
          </cell>
        </row>
        <row r="98">
          <cell r="A98" t="str">
            <v>PEAR0080</v>
          </cell>
          <cell r="B98" t="str">
            <v>TRATAMIENTO SEMILLAS LINO SANCHET X UND</v>
          </cell>
          <cell r="C98">
            <v>1136</v>
          </cell>
          <cell r="D98">
            <v>1000</v>
          </cell>
        </row>
        <row r="99">
          <cell r="A99" t="str">
            <v>PEAR0078</v>
          </cell>
          <cell r="B99" t="str">
            <v>TRATAMIENTO PATO SACHET X UND</v>
          </cell>
          <cell r="C99">
            <v>1008</v>
          </cell>
          <cell r="D99">
            <v>1000</v>
          </cell>
        </row>
        <row r="100">
          <cell r="A100" t="str">
            <v>PEAR0081</v>
          </cell>
          <cell r="B100" t="str">
            <v xml:space="preserve">TRATAMIENTO  REPARACION SACHET X UND </v>
          </cell>
          <cell r="C100">
            <v>1008</v>
          </cell>
          <cell r="D100">
            <v>1000</v>
          </cell>
        </row>
        <row r="101">
          <cell r="A101" t="str">
            <v>PEAR0079</v>
          </cell>
          <cell r="B101" t="str">
            <v xml:space="preserve">TRATAMIENTO GUSANO DE SEDA SACHET X UND </v>
          </cell>
          <cell r="C101">
            <v>1008</v>
          </cell>
          <cell r="D101">
            <v>1000</v>
          </cell>
        </row>
        <row r="102">
          <cell r="A102" t="str">
            <v>BARBER0021</v>
          </cell>
          <cell r="B102" t="str">
            <v xml:space="preserve">LOCION TONICA CAPILAR MXD5 X 60 ML HOMBRE </v>
          </cell>
          <cell r="C102">
            <v>36</v>
          </cell>
          <cell r="D102">
            <v>30000</v>
          </cell>
          <cell r="E102" t="str">
            <v>2 x 50000</v>
          </cell>
        </row>
        <row r="103">
          <cell r="A103" t="str">
            <v>BOSL0154</v>
          </cell>
          <cell r="B103" t="str">
            <v xml:space="preserve">LOCION TONICA CAPILAR MXD5 X 60 ML MUJER </v>
          </cell>
          <cell r="C103">
            <v>36</v>
          </cell>
          <cell r="D103">
            <v>30000</v>
          </cell>
          <cell r="E103" t="str">
            <v>2 x 50000</v>
          </cell>
        </row>
        <row r="104">
          <cell r="A104" t="str">
            <v>BARBER0126</v>
          </cell>
          <cell r="B104" t="str">
            <v>CERA VIBRNATE CON CBD Y TRICHOGEN  X 190G BARBERSHOP</v>
          </cell>
          <cell r="C104">
            <v>75</v>
          </cell>
          <cell r="D104">
            <v>25000</v>
          </cell>
        </row>
        <row r="105">
          <cell r="A105" t="str">
            <v>BARBER0077</v>
          </cell>
          <cell r="B105" t="str">
            <v xml:space="preserve">MORRAL NEGRO BARBERSHOP </v>
          </cell>
          <cell r="C105">
            <v>12</v>
          </cell>
          <cell r="D105">
            <v>100000</v>
          </cell>
          <cell r="E105" t="str">
            <v>antes 140000 ahora 100000</v>
          </cell>
        </row>
        <row r="106">
          <cell r="A106" t="str">
            <v>BARBER0077</v>
          </cell>
          <cell r="B106" t="str">
            <v xml:space="preserve">MORRAL GRIS  BARBERSHOP </v>
          </cell>
          <cell r="C106">
            <v>12</v>
          </cell>
          <cell r="D106">
            <v>100000</v>
          </cell>
          <cell r="E106" t="str">
            <v>antes 140000 ahora 100000</v>
          </cell>
        </row>
        <row r="107">
          <cell r="A107" t="str">
            <v>PUBLI0010</v>
          </cell>
          <cell r="B107" t="str">
            <v xml:space="preserve">TULAS BARBERSHOP </v>
          </cell>
          <cell r="C107">
            <v>500</v>
          </cell>
          <cell r="D107">
            <v>0</v>
          </cell>
        </row>
        <row r="108">
          <cell r="A108" t="str">
            <v>PUBLI0011</v>
          </cell>
          <cell r="B108" t="str">
            <v xml:space="preserve">TULAS BOSLEY </v>
          </cell>
          <cell r="C108">
            <v>500</v>
          </cell>
          <cell r="D108">
            <v>0</v>
          </cell>
        </row>
        <row r="109">
          <cell r="A109" t="str">
            <v>CLASS007</v>
          </cell>
          <cell r="B109" t="str">
            <v xml:space="preserve">RIÑONERA CLASS-MEN </v>
          </cell>
          <cell r="C109">
            <v>2</v>
          </cell>
          <cell r="D109">
            <v>130000</v>
          </cell>
          <cell r="E109" t="str">
            <v>antes 200000 ahora 130000</v>
          </cell>
        </row>
        <row r="110">
          <cell r="A110" t="str">
            <v>CLASS004</v>
          </cell>
          <cell r="B110" t="str">
            <v>CARTUCHERA DOBLE CIERRE CABALLEROCLASS-MEN</v>
          </cell>
          <cell r="C110">
            <v>3</v>
          </cell>
          <cell r="D110">
            <v>100000</v>
          </cell>
          <cell r="E110" t="str">
            <v>antes 150000 ahora 100000</v>
          </cell>
        </row>
        <row r="111">
          <cell r="A111" t="str">
            <v>CLASS001</v>
          </cell>
          <cell r="B111" t="str">
            <v>PORTADOCUMENTOS CLASS-MEN</v>
          </cell>
          <cell r="C111">
            <v>12</v>
          </cell>
          <cell r="D111">
            <v>50000</v>
          </cell>
        </row>
        <row r="112">
          <cell r="A112" t="str">
            <v>CLASS002</v>
          </cell>
          <cell r="B112" t="str">
            <v>BOLSOS VIAJERO CLASS-MEN´S</v>
          </cell>
          <cell r="C112">
            <v>2</v>
          </cell>
          <cell r="D112">
            <v>65000</v>
          </cell>
        </row>
        <row r="113">
          <cell r="A113" t="str">
            <v>SALO0698</v>
          </cell>
          <cell r="B113" t="str">
            <v xml:space="preserve">SET DE BROCHAS ESTAMPADO X 12 UNDS </v>
          </cell>
          <cell r="C113">
            <v>40</v>
          </cell>
          <cell r="D113">
            <v>50000</v>
          </cell>
        </row>
        <row r="114">
          <cell r="A114" t="str">
            <v>SALO0532</v>
          </cell>
          <cell r="B114" t="str">
            <v xml:space="preserve">CEPILLO PARA CABELLO X UND </v>
          </cell>
          <cell r="C114">
            <v>25</v>
          </cell>
          <cell r="D114">
            <v>5000</v>
          </cell>
        </row>
        <row r="115">
          <cell r="A115" t="str">
            <v>BARUP0018</v>
          </cell>
          <cell r="B115" t="str">
            <v>LOCION REFRESCANTE BARUP X 1000</v>
          </cell>
          <cell r="C115">
            <v>20</v>
          </cell>
          <cell r="D115">
            <v>20000</v>
          </cell>
        </row>
        <row r="116">
          <cell r="A116" t="str">
            <v>PEAR0018</v>
          </cell>
          <cell r="B116" t="str">
            <v>PACIFIC  BLUEX 1000</v>
          </cell>
          <cell r="C116">
            <v>25</v>
          </cell>
          <cell r="D116">
            <v>20000</v>
          </cell>
        </row>
        <row r="117">
          <cell r="A117" t="str">
            <v>PEAR0019</v>
          </cell>
          <cell r="B117" t="str">
            <v>AGUA DE COLONIA LA ROSE</v>
          </cell>
          <cell r="C117">
            <v>12</v>
          </cell>
          <cell r="D117">
            <v>15000</v>
          </cell>
        </row>
        <row r="118">
          <cell r="A118" t="str">
            <v>PEAR0106</v>
          </cell>
          <cell r="B118" t="str">
            <v>AGUA DE COLONIA GRREN</v>
          </cell>
          <cell r="C118">
            <v>13</v>
          </cell>
          <cell r="D118">
            <v>20000</v>
          </cell>
        </row>
        <row r="119">
          <cell r="A119" t="str">
            <v>BARUP0015</v>
          </cell>
          <cell r="B119" t="str">
            <v>BALSAMO BARBER UP 2 LITROS</v>
          </cell>
          <cell r="C119">
            <v>10</v>
          </cell>
          <cell r="D119">
            <v>18000</v>
          </cell>
        </row>
        <row r="120">
          <cell r="A120" t="str">
            <v>BOSL0034</v>
          </cell>
          <cell r="B120" t="str">
            <v>GEL HIDRATANTE AFTER SUN ALOE VERA</v>
          </cell>
          <cell r="C120">
            <v>12</v>
          </cell>
          <cell r="D120">
            <v>15000</v>
          </cell>
        </row>
        <row r="121">
          <cell r="A121" t="str">
            <v xml:space="preserve">MPCAJ041 </v>
          </cell>
          <cell r="B121" t="str">
            <v>CAJA PARA KIT BARBERSHOP</v>
          </cell>
          <cell r="C121">
            <v>60</v>
          </cell>
          <cell r="D121">
            <v>5000</v>
          </cell>
        </row>
        <row r="122">
          <cell r="A122" t="str">
            <v>MPCAJ042</v>
          </cell>
          <cell r="B122" t="str">
            <v>CAJA PARA KITS BOSLEY</v>
          </cell>
          <cell r="C122">
            <v>50</v>
          </cell>
          <cell r="D122">
            <v>5000</v>
          </cell>
        </row>
        <row r="126">
          <cell r="A126" t="str">
            <v>PEDIDO 2 BAZAR DE MARCAS 2025</v>
          </cell>
        </row>
        <row r="127">
          <cell r="A127" t="str">
            <v>CODIGO VENTA</v>
          </cell>
          <cell r="B127" t="str">
            <v>DESCRIPCION</v>
          </cell>
          <cell r="C127" t="str">
            <v>CANT</v>
          </cell>
          <cell r="D127" t="str">
            <v>PRECIO</v>
          </cell>
          <cell r="E127" t="str">
            <v>OBSERVACIONES</v>
          </cell>
        </row>
        <row r="128">
          <cell r="A128" t="str">
            <v>SALO0010</v>
          </cell>
          <cell r="B128" t="str">
            <v>CAPA BARBERIA ESTAMPADOS SURTIDOS 158CM X 145CM</v>
          </cell>
          <cell r="C128">
            <v>20</v>
          </cell>
          <cell r="D128">
            <v>20000</v>
          </cell>
        </row>
        <row r="129">
          <cell r="A129" t="str">
            <v>SALO0005</v>
          </cell>
          <cell r="B129" t="str">
            <v>PINCEL PARA DECORAR UÑAS 000 X UND</v>
          </cell>
          <cell r="C129">
            <v>48</v>
          </cell>
          <cell r="D129">
            <v>1000</v>
          </cell>
        </row>
        <row r="130">
          <cell r="A130" t="str">
            <v>SALO0075</v>
          </cell>
          <cell r="B130" t="str">
            <v xml:space="preserve">HENNA PARA CEJAS HINDU </v>
          </cell>
          <cell r="C130">
            <v>18</v>
          </cell>
          <cell r="D130">
            <v>5000</v>
          </cell>
        </row>
        <row r="131">
          <cell r="A131" t="str">
            <v>SALO0084</v>
          </cell>
          <cell r="B131" t="str">
            <v>CUBO PULIDOR BLANCO X 10 UNDS</v>
          </cell>
          <cell r="C131">
            <v>5</v>
          </cell>
          <cell r="D131">
            <v>1000</v>
          </cell>
        </row>
        <row r="132">
          <cell r="A132" t="str">
            <v>SALO0116</v>
          </cell>
          <cell r="B132" t="str">
            <v>GORRO DE BAÑO ESTAMPADO 720 BT-236</v>
          </cell>
          <cell r="C132">
            <v>144</v>
          </cell>
          <cell r="D132">
            <v>1000</v>
          </cell>
        </row>
        <row r="133">
          <cell r="A133" t="str">
            <v>SALO0173</v>
          </cell>
          <cell r="B133" t="str">
            <v>PINCEL DIFUMINADOR DE LUJO</v>
          </cell>
          <cell r="C133">
            <v>60</v>
          </cell>
          <cell r="D133">
            <v>2000</v>
          </cell>
        </row>
        <row r="134">
          <cell r="A134" t="str">
            <v>SALO0208</v>
          </cell>
          <cell r="B134" t="str">
            <v>GORRA BARBERSHOP</v>
          </cell>
          <cell r="C134">
            <v>48</v>
          </cell>
          <cell r="D134">
            <v>25000</v>
          </cell>
        </row>
        <row r="135">
          <cell r="A135" t="str">
            <v>SALO0210</v>
          </cell>
          <cell r="B135" t="str">
            <v>GORRA BARBERSHOP KIDS</v>
          </cell>
          <cell r="C135">
            <v>24</v>
          </cell>
          <cell r="D135">
            <v>20000</v>
          </cell>
        </row>
        <row r="136">
          <cell r="A136" t="str">
            <v>SALO0320</v>
          </cell>
          <cell r="B136" t="str">
            <v>BROCHA MEDIANA PARA RUBOR CABO DE BAMBU</v>
          </cell>
          <cell r="C136">
            <v>60</v>
          </cell>
          <cell r="D136">
            <v>5000</v>
          </cell>
        </row>
        <row r="137">
          <cell r="A137" t="str">
            <v>SALO0350</v>
          </cell>
          <cell r="B137" t="str">
            <v>BROCHA ABANICO MEDIDAS 14*4 CM PEQUEÑA</v>
          </cell>
          <cell r="C137">
            <v>60</v>
          </cell>
          <cell r="D137">
            <v>2000</v>
          </cell>
        </row>
        <row r="138">
          <cell r="A138" t="str">
            <v>SALO0360</v>
          </cell>
          <cell r="B138" t="str">
            <v>POMO ESPUMA IMPORTADA X 3</v>
          </cell>
          <cell r="C138">
            <v>144</v>
          </cell>
          <cell r="D138">
            <v>1000</v>
          </cell>
        </row>
        <row r="139">
          <cell r="A139" t="str">
            <v>SALO0467</v>
          </cell>
          <cell r="B139" t="str">
            <v>BROCHA PLANA CABO MADERA</v>
          </cell>
          <cell r="C139">
            <v>60</v>
          </cell>
          <cell r="D139">
            <v>5000</v>
          </cell>
        </row>
        <row r="140">
          <cell r="A140" t="str">
            <v>SALO0577</v>
          </cell>
          <cell r="B140" t="str">
            <v>CEPILLO FACIAL DE SILICONA OVALADO</v>
          </cell>
          <cell r="C140">
            <v>60</v>
          </cell>
          <cell r="D140">
            <v>1000</v>
          </cell>
        </row>
        <row r="141">
          <cell r="A141" t="str">
            <v>SALO0580</v>
          </cell>
          <cell r="B141" t="str">
            <v>CEPILLO FACIAL DE SILICONA LAGRIMA</v>
          </cell>
          <cell r="C141">
            <v>60</v>
          </cell>
          <cell r="D141">
            <v>1000</v>
          </cell>
        </row>
        <row r="142">
          <cell r="A142" t="str">
            <v>SALO0584</v>
          </cell>
          <cell r="B142" t="str">
            <v>POMO FACIAL COLORES OVALADO</v>
          </cell>
          <cell r="C142">
            <v>60</v>
          </cell>
          <cell r="D142">
            <v>1000</v>
          </cell>
        </row>
        <row r="143">
          <cell r="A143" t="str">
            <v>SALO0585</v>
          </cell>
          <cell r="B143" t="str">
            <v>POMO GOTERO EN LATEX DE COLORES</v>
          </cell>
          <cell r="C143">
            <v>60</v>
          </cell>
          <cell r="D143">
            <v>1000</v>
          </cell>
        </row>
        <row r="144">
          <cell r="A144" t="str">
            <v>SALO0645</v>
          </cell>
          <cell r="B144" t="str">
            <v>BROCHA KABUKI PLANA PARA BASE</v>
          </cell>
          <cell r="C144">
            <v>60</v>
          </cell>
          <cell r="D144">
            <v>5000</v>
          </cell>
        </row>
        <row r="145">
          <cell r="A145" t="str">
            <v>SALO0688</v>
          </cell>
          <cell r="B145" t="str">
            <v>BROCHA BOSLEY PARA POLVO Y RUBOR</v>
          </cell>
          <cell r="C145">
            <v>60</v>
          </cell>
          <cell r="D145">
            <v>5000</v>
          </cell>
        </row>
        <row r="146">
          <cell r="A146" t="str">
            <v>SALO0695</v>
          </cell>
          <cell r="B146" t="str">
            <v>BROCHA METALICA RETRACTIL  BOSLEY</v>
          </cell>
          <cell r="C146">
            <v>60</v>
          </cell>
          <cell r="D146">
            <v>5000</v>
          </cell>
        </row>
        <row r="147">
          <cell r="A147" t="str">
            <v>SALO0696</v>
          </cell>
          <cell r="B147" t="str">
            <v>SET DE BROCHAS NEGRO X 15 UNDS</v>
          </cell>
          <cell r="C147">
            <v>36</v>
          </cell>
          <cell r="D147">
            <v>40000</v>
          </cell>
        </row>
        <row r="148">
          <cell r="A148" t="str">
            <v>SALO0697</v>
          </cell>
          <cell r="B148" t="str">
            <v>SET DE BROCHAS NEGRO X 12 UNDS</v>
          </cell>
          <cell r="C148">
            <v>36</v>
          </cell>
          <cell r="D148">
            <v>35000</v>
          </cell>
        </row>
        <row r="149">
          <cell r="A149" t="str">
            <v>SALO0700</v>
          </cell>
          <cell r="B149" t="str">
            <v>PINCEL PARA CORRECTOR</v>
          </cell>
          <cell r="C149">
            <v>60</v>
          </cell>
          <cell r="D149">
            <v>1000</v>
          </cell>
        </row>
        <row r="150">
          <cell r="A150" t="str">
            <v>SALO0701</v>
          </cell>
          <cell r="B150" t="str">
            <v>BROCHA LENGUA DE GATO PEQUEÑA</v>
          </cell>
          <cell r="C150">
            <v>60</v>
          </cell>
          <cell r="D150">
            <v>2000</v>
          </cell>
        </row>
        <row r="151">
          <cell r="A151" t="str">
            <v>SALO0707</v>
          </cell>
          <cell r="B151" t="str">
            <v>BROCHA OVAL PEQUEÑA PARA BASE</v>
          </cell>
          <cell r="C151">
            <v>144</v>
          </cell>
          <cell r="D151">
            <v>1000</v>
          </cell>
        </row>
        <row r="152">
          <cell r="A152" t="str">
            <v>SALO0709</v>
          </cell>
          <cell r="B152" t="str">
            <v>SET DE BROCHAS OVAL</v>
          </cell>
          <cell r="C152">
            <v>144</v>
          </cell>
          <cell r="D152">
            <v>3000</v>
          </cell>
        </row>
        <row r="153">
          <cell r="A153" t="str">
            <v>SALO0710</v>
          </cell>
          <cell r="B153" t="str">
            <v>CEPILLO PARA LIMPIAR BROCHA</v>
          </cell>
          <cell r="C153">
            <v>144</v>
          </cell>
          <cell r="D153">
            <v>1000</v>
          </cell>
        </row>
        <row r="154">
          <cell r="A154" t="str">
            <v>SALO0724</v>
          </cell>
          <cell r="B154" t="str">
            <v>CEPILLO BARBERO DOBLE</v>
          </cell>
          <cell r="C154">
            <v>48</v>
          </cell>
          <cell r="D154">
            <v>5000</v>
          </cell>
        </row>
        <row r="155">
          <cell r="A155" t="str">
            <v>SALO0773</v>
          </cell>
          <cell r="B155" t="str">
            <v>BROCHA CABO DE LUJO COLORES SURTIDOS</v>
          </cell>
          <cell r="C155">
            <v>60</v>
          </cell>
          <cell r="D155">
            <v>10000</v>
          </cell>
        </row>
        <row r="156">
          <cell r="A156" t="str">
            <v>SALO0774</v>
          </cell>
          <cell r="B156" t="str">
            <v>SET DE BROCHAS OVAL CABO DE LUJO X 5 UN</v>
          </cell>
          <cell r="C156">
            <v>11</v>
          </cell>
          <cell r="D156">
            <v>10000</v>
          </cell>
        </row>
        <row r="157">
          <cell r="A157" t="str">
            <v>SALO0771</v>
          </cell>
          <cell r="B157" t="str">
            <v>SET DE BROCHAS PROFESIONAL X 24 UNDS</v>
          </cell>
          <cell r="C157">
            <v>5</v>
          </cell>
          <cell r="D157">
            <v>50000</v>
          </cell>
        </row>
        <row r="158">
          <cell r="A158" t="str">
            <v>SALO0798</v>
          </cell>
          <cell r="B158" t="str">
            <v>POMO SILICONADO</v>
          </cell>
          <cell r="C158">
            <v>144</v>
          </cell>
          <cell r="D158">
            <v>1000</v>
          </cell>
        </row>
        <row r="159">
          <cell r="A159" t="str">
            <v>SALO0822</v>
          </cell>
          <cell r="B159" t="str">
            <v>BROCHA PARA POLVO</v>
          </cell>
          <cell r="C159">
            <v>144</v>
          </cell>
          <cell r="D159">
            <v>5000</v>
          </cell>
        </row>
        <row r="160">
          <cell r="A160" t="str">
            <v>SALO0823</v>
          </cell>
          <cell r="B160" t="str">
            <v>BROCHA PARA POLVO</v>
          </cell>
          <cell r="C160">
            <v>144</v>
          </cell>
          <cell r="D160">
            <v>5000</v>
          </cell>
        </row>
        <row r="161">
          <cell r="A161" t="str">
            <v>SALO0826</v>
          </cell>
          <cell r="B161" t="str">
            <v>BROCHA MOFETA DOBLE FIBRA</v>
          </cell>
          <cell r="C161">
            <v>144</v>
          </cell>
          <cell r="D161">
            <v>3000</v>
          </cell>
        </row>
        <row r="162">
          <cell r="A162" t="str">
            <v>SALO0827</v>
          </cell>
          <cell r="B162" t="str">
            <v>BROCHA ANGULAR PARA RUBOR</v>
          </cell>
          <cell r="C162">
            <v>60</v>
          </cell>
          <cell r="D162">
            <v>5000</v>
          </cell>
        </row>
        <row r="163">
          <cell r="A163" t="str">
            <v>SALO0830</v>
          </cell>
          <cell r="B163" t="str">
            <v>PINCEL PARA SOMBRA</v>
          </cell>
          <cell r="C163">
            <v>144</v>
          </cell>
          <cell r="D163">
            <v>1000</v>
          </cell>
        </row>
        <row r="164">
          <cell r="A164" t="str">
            <v>SALO0832</v>
          </cell>
          <cell r="B164" t="str">
            <v>PINCEL</v>
          </cell>
          <cell r="C164">
            <v>144</v>
          </cell>
          <cell r="D164">
            <v>1000</v>
          </cell>
        </row>
        <row r="165">
          <cell r="A165" t="str">
            <v>SALO0833</v>
          </cell>
          <cell r="B165" t="str">
            <v>PINCEL PARA DIFUMINAR</v>
          </cell>
          <cell r="C165">
            <v>144</v>
          </cell>
          <cell r="D165">
            <v>2000</v>
          </cell>
        </row>
        <row r="166">
          <cell r="A166" t="str">
            <v>SALO0872</v>
          </cell>
          <cell r="B166" t="str">
            <v>ALMOHADILLA SILICONADA PARA PEGA DE PESTAÑAS PELO A PELO X 5 UNDS</v>
          </cell>
          <cell r="C166">
            <v>60</v>
          </cell>
          <cell r="D166">
            <v>1000</v>
          </cell>
        </row>
        <row r="167">
          <cell r="A167" t="str">
            <v>SALO0874</v>
          </cell>
          <cell r="B167" t="str">
            <v>LIMA DE UÑAS EN FOMI  BOSLEY X 25UND</v>
          </cell>
          <cell r="C167">
            <v>60</v>
          </cell>
          <cell r="D167">
            <v>1000</v>
          </cell>
        </row>
        <row r="168">
          <cell r="A168" t="str">
            <v>SALO0926</v>
          </cell>
          <cell r="B168" t="str">
            <v>TRIANGLE SPONGE TERCIO PELO X 3 UND</v>
          </cell>
          <cell r="C168">
            <v>144</v>
          </cell>
          <cell r="D168">
            <v>2000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E145" sqref="E1:E1048576"/>
    </sheetView>
  </sheetViews>
  <sheetFormatPr baseColWidth="10" defaultColWidth="9.140625" defaultRowHeight="15" x14ac:dyDescent="0.25"/>
  <cols>
    <col min="1" max="1" width="13.140625" bestFit="1" customWidth="1"/>
    <col min="2" max="2" width="69.140625" bestFit="1" customWidth="1"/>
    <col min="3" max="3" width="43" customWidth="1"/>
    <col min="4" max="4" width="10" bestFit="1" customWidth="1"/>
    <col min="5" max="5" width="12" style="8" bestFit="1" customWidth="1"/>
    <col min="6" max="6" width="27.425781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f>IFERROR(VLOOKUP(A2,[1]PEDIDO!$A$3:$E$168,3,FALSE),0)</f>
        <v>60</v>
      </c>
      <c r="E2" s="8">
        <f>IFERROR(VLOOKUP(A2,[1]PEDIDO!$A$3:$E$168,4,FALSE),0)</f>
        <v>18000</v>
      </c>
      <c r="F2" s="1">
        <v>7707320471574</v>
      </c>
    </row>
    <row r="3" spans="1:6" x14ac:dyDescent="0.25">
      <c r="A3" t="s">
        <v>9</v>
      </c>
      <c r="B3" t="s">
        <v>10</v>
      </c>
      <c r="C3" t="s">
        <v>8</v>
      </c>
      <c r="D3">
        <f>IFERROR(VLOOKUP(A3,[1]PEDIDO!$A$3:$E$168,3,FALSE),0)</f>
        <v>36</v>
      </c>
      <c r="E3" s="8">
        <f>IFERROR(VLOOKUP(A3,[1]PEDIDO!$A$3:$E$168,4,FALSE),0)</f>
        <v>20000</v>
      </c>
      <c r="F3" s="1">
        <v>7707320474629</v>
      </c>
    </row>
    <row r="4" spans="1:6" x14ac:dyDescent="0.25">
      <c r="A4" t="s">
        <v>11</v>
      </c>
      <c r="B4" t="s">
        <v>12</v>
      </c>
      <c r="C4" t="s">
        <v>13</v>
      </c>
      <c r="D4">
        <v>25</v>
      </c>
      <c r="E4" s="8">
        <v>20000</v>
      </c>
      <c r="F4" s="1">
        <v>7707320473370</v>
      </c>
    </row>
    <row r="5" spans="1:6" ht="15.75" customHeight="1" x14ac:dyDescent="0.25">
      <c r="A5" t="s">
        <v>14</v>
      </c>
      <c r="B5" t="s">
        <v>12</v>
      </c>
      <c r="C5" t="s">
        <v>15</v>
      </c>
      <c r="D5">
        <v>12</v>
      </c>
      <c r="E5" s="8">
        <v>15000</v>
      </c>
      <c r="F5" s="1">
        <v>7707320473387</v>
      </c>
    </row>
    <row r="6" spans="1:6" x14ac:dyDescent="0.25">
      <c r="A6" t="s">
        <v>16</v>
      </c>
      <c r="B6" t="s">
        <v>12</v>
      </c>
      <c r="C6" t="s">
        <v>17</v>
      </c>
      <c r="D6">
        <v>13</v>
      </c>
      <c r="E6" s="8">
        <v>20000</v>
      </c>
      <c r="F6" s="1">
        <v>7707320477545</v>
      </c>
    </row>
    <row r="7" spans="1:6" x14ac:dyDescent="0.25">
      <c r="A7" t="s">
        <v>18</v>
      </c>
      <c r="B7" t="s">
        <v>19</v>
      </c>
      <c r="C7" t="s">
        <v>8</v>
      </c>
      <c r="D7">
        <f>IFERROR(VLOOKUP(A7,[1]PEDIDO!$A$3:$E$168,3,FALSE),0)</f>
        <v>60</v>
      </c>
      <c r="E7" s="8">
        <f>IFERROR(VLOOKUP(A7,[1]PEDIDO!$A$3:$E$168,4,FALSE),0)</f>
        <v>1000</v>
      </c>
    </row>
    <row r="8" spans="1:6" x14ac:dyDescent="0.25">
      <c r="A8" t="s">
        <v>20</v>
      </c>
      <c r="B8" t="s">
        <v>21</v>
      </c>
      <c r="C8" t="s">
        <v>22</v>
      </c>
      <c r="D8">
        <v>10</v>
      </c>
      <c r="E8" s="8">
        <v>18000</v>
      </c>
      <c r="F8" s="1">
        <v>7707320479662</v>
      </c>
    </row>
    <row r="9" spans="1:6" x14ac:dyDescent="0.25">
      <c r="A9" t="s">
        <v>23</v>
      </c>
      <c r="B9" t="s">
        <v>24</v>
      </c>
      <c r="C9" t="s">
        <v>25</v>
      </c>
      <c r="D9">
        <f>IFERROR(VLOOKUP(A9,[1]PEDIDO!$A$3:$E$168,3,FALSE),0)</f>
        <v>24</v>
      </c>
      <c r="E9" s="8">
        <f>IFERROR(VLOOKUP(A9,[1]PEDIDO!$A$3:$E$168,4,FALSE),0)</f>
        <v>10000</v>
      </c>
      <c r="F9" s="1">
        <v>7707320479235</v>
      </c>
    </row>
    <row r="10" spans="1:6" x14ac:dyDescent="0.25">
      <c r="A10" t="s">
        <v>26</v>
      </c>
      <c r="B10" t="s">
        <v>24</v>
      </c>
      <c r="C10" t="s">
        <v>27</v>
      </c>
      <c r="D10">
        <f>IFERROR(VLOOKUP(A10,[1]PEDIDO!$A$3:$E$168,3,FALSE),0)</f>
        <v>24</v>
      </c>
      <c r="E10" s="8">
        <f>IFERROR(VLOOKUP(A10,[1]PEDIDO!$A$3:$E$168,4,FALSE),0)</f>
        <v>10000</v>
      </c>
      <c r="F10" s="1">
        <v>7707320477491</v>
      </c>
    </row>
    <row r="11" spans="1:6" x14ac:dyDescent="0.25">
      <c r="A11" t="s">
        <v>28</v>
      </c>
      <c r="B11" t="s">
        <v>29</v>
      </c>
      <c r="C11" t="s">
        <v>8</v>
      </c>
      <c r="D11">
        <f>IFERROR(VLOOKUP(A11,[1]PEDIDO!$A$3:$E$168,3,FALSE),0)</f>
        <v>25</v>
      </c>
      <c r="E11" s="8">
        <f>IFERROR(VLOOKUP(A11,[1]PEDIDO!$A$3:$E$168,4,FALSE),0)</f>
        <v>20000</v>
      </c>
      <c r="F11" s="1">
        <v>7707320477675</v>
      </c>
    </row>
    <row r="12" spans="1:6" x14ac:dyDescent="0.25">
      <c r="A12" t="s">
        <v>30</v>
      </c>
      <c r="B12" t="s">
        <v>31</v>
      </c>
      <c r="C12" t="s">
        <v>8</v>
      </c>
      <c r="D12">
        <f>IFERROR(VLOOKUP(A12,[1]PEDIDO!$A$3:$E$168,3,FALSE),0)</f>
        <v>60</v>
      </c>
      <c r="E12" s="8">
        <f>IFERROR(VLOOKUP(A12,[1]PEDIDO!$A$3:$E$168,4,FALSE),0)</f>
        <v>2000</v>
      </c>
      <c r="F12" s="1">
        <v>7707320471703</v>
      </c>
    </row>
    <row r="13" spans="1:6" x14ac:dyDescent="0.25">
      <c r="A13" t="s">
        <v>32</v>
      </c>
      <c r="B13" t="s">
        <v>33</v>
      </c>
      <c r="C13" t="s">
        <v>8</v>
      </c>
      <c r="D13">
        <f>IFERROR(VLOOKUP(A13,[1]PEDIDO!$A$3:$E$168,3,FALSE),0)</f>
        <v>60</v>
      </c>
      <c r="E13" s="8">
        <f>IFERROR(VLOOKUP(A13,[1]PEDIDO!$A$3:$E$168,4,FALSE),0)</f>
        <v>5000</v>
      </c>
      <c r="F13" s="1">
        <v>7707320475398</v>
      </c>
    </row>
    <row r="14" spans="1:6" x14ac:dyDescent="0.25">
      <c r="A14" t="s">
        <v>34</v>
      </c>
      <c r="B14" t="s">
        <v>35</v>
      </c>
      <c r="C14" t="s">
        <v>8</v>
      </c>
      <c r="D14">
        <f>IFERROR(VLOOKUP(A14,[1]PEDIDO!$A$3:$E$168,3,FALSE),0)</f>
        <v>60</v>
      </c>
      <c r="E14" s="8">
        <f>IFERROR(VLOOKUP(A14,[1]PEDIDO!$A$3:$E$168,4,FALSE),0)</f>
        <v>5000</v>
      </c>
      <c r="F14" s="1">
        <v>7707320475824</v>
      </c>
    </row>
    <row r="15" spans="1:6" x14ac:dyDescent="0.25">
      <c r="A15" t="s">
        <v>36</v>
      </c>
      <c r="B15" t="s">
        <v>37</v>
      </c>
      <c r="C15" t="s">
        <v>8</v>
      </c>
      <c r="D15">
        <f>IFERROR(VLOOKUP(A15,[1]PEDIDO!$A$3:$E$168,3,FALSE),0)</f>
        <v>60</v>
      </c>
      <c r="E15" s="8">
        <f>IFERROR(VLOOKUP(A15,[1]PEDIDO!$A$3:$E$168,4,FALSE),0)</f>
        <v>10000</v>
      </c>
      <c r="F15" s="1">
        <v>7707320478009</v>
      </c>
    </row>
    <row r="16" spans="1:6" x14ac:dyDescent="0.25">
      <c r="A16" t="s">
        <v>38</v>
      </c>
      <c r="B16" t="s">
        <v>39</v>
      </c>
      <c r="C16" t="s">
        <v>8</v>
      </c>
      <c r="D16">
        <f>IFERROR(VLOOKUP(A16,[1]PEDIDO!$A$3:$E$168,3,FALSE),0)</f>
        <v>60</v>
      </c>
      <c r="E16" s="8">
        <f>IFERROR(VLOOKUP(A16,[1]PEDIDO!$A$3:$E$168,4,FALSE),0)</f>
        <v>5000</v>
      </c>
      <c r="F16" s="1">
        <v>7707320477248</v>
      </c>
    </row>
    <row r="17" spans="1:6" x14ac:dyDescent="0.25">
      <c r="A17" t="s">
        <v>40</v>
      </c>
      <c r="B17" t="s">
        <v>41</v>
      </c>
      <c r="C17" t="s">
        <v>8</v>
      </c>
      <c r="D17">
        <f>IFERROR(VLOOKUP(A17,[1]PEDIDO!$A$3:$E$168,3,FALSE),0)</f>
        <v>60</v>
      </c>
      <c r="E17" s="8">
        <f>IFERROR(VLOOKUP(A17,[1]PEDIDO!$A$3:$E$168,4,FALSE),0)</f>
        <v>2000</v>
      </c>
      <c r="F17" s="1">
        <v>7707320475893</v>
      </c>
    </row>
    <row r="18" spans="1:6" x14ac:dyDescent="0.25">
      <c r="A18" t="s">
        <v>42</v>
      </c>
      <c r="B18" t="s">
        <v>43</v>
      </c>
      <c r="C18" t="s">
        <v>8</v>
      </c>
      <c r="D18">
        <f>IFERROR(VLOOKUP(A18,[1]PEDIDO!$A$3:$E$168,3,FALSE),0)</f>
        <v>60</v>
      </c>
      <c r="E18" s="8">
        <f>IFERROR(VLOOKUP(A18,[1]PEDIDO!$A$3:$E$168,4,FALSE),0)</f>
        <v>5000</v>
      </c>
      <c r="F18" s="1">
        <v>7707320471543</v>
      </c>
    </row>
    <row r="19" spans="1:6" x14ac:dyDescent="0.25">
      <c r="A19" t="s">
        <v>44</v>
      </c>
      <c r="B19" t="s">
        <v>45</v>
      </c>
      <c r="C19" t="s">
        <v>8</v>
      </c>
      <c r="D19">
        <f>IFERROR(VLOOKUP(A19,[1]PEDIDO!$A$3:$E$168,3,FALSE),0)</f>
        <v>60</v>
      </c>
      <c r="E19" s="8">
        <f>IFERROR(VLOOKUP(A19,[1]PEDIDO!$A$3:$E$168,4,FALSE),0)</f>
        <v>5000</v>
      </c>
      <c r="F19" s="1">
        <v>7707320475732</v>
      </c>
    </row>
    <row r="20" spans="1:6" x14ac:dyDescent="0.25">
      <c r="A20" t="s">
        <v>46</v>
      </c>
      <c r="B20" t="s">
        <v>47</v>
      </c>
      <c r="C20" t="s">
        <v>8</v>
      </c>
      <c r="D20">
        <f>IFERROR(VLOOKUP(A20,[1]PEDIDO!$A$3:$E$168,3,FALSE),0)</f>
        <v>144</v>
      </c>
      <c r="E20" s="8">
        <f>IFERROR(VLOOKUP(A20,[1]PEDIDO!$A$3:$E$168,4,FALSE),0)</f>
        <v>3000</v>
      </c>
      <c r="F20" s="1">
        <v>7707320477620</v>
      </c>
    </row>
    <row r="21" spans="1:6" x14ac:dyDescent="0.25">
      <c r="A21" t="s">
        <v>48</v>
      </c>
      <c r="B21" t="s">
        <v>49</v>
      </c>
      <c r="C21" t="s">
        <v>50</v>
      </c>
      <c r="D21">
        <f>IFERROR(VLOOKUP(A21,[1]PEDIDO!$A$3:$E$168,3,FALSE),0)</f>
        <v>144</v>
      </c>
      <c r="E21" s="8">
        <f>IFERROR(VLOOKUP(A21,[1]PEDIDO!$A$3:$E$168,4,FALSE),0)</f>
        <v>1000</v>
      </c>
      <c r="F21" s="1">
        <v>7707320476500</v>
      </c>
    </row>
    <row r="22" spans="1:6" x14ac:dyDescent="0.25">
      <c r="A22" t="s">
        <v>51</v>
      </c>
      <c r="B22" t="s">
        <v>52</v>
      </c>
      <c r="C22" t="s">
        <v>8</v>
      </c>
      <c r="D22">
        <f>IFERROR(VLOOKUP(A22,[1]PEDIDO!$A$3:$E$168,3,FALSE),0)</f>
        <v>144</v>
      </c>
      <c r="E22" s="8">
        <f>IFERROR(VLOOKUP(A22,[1]PEDIDO!$A$3:$E$168,4,FALSE),0)</f>
        <v>5000</v>
      </c>
      <c r="F22" s="1">
        <v>7707320478511</v>
      </c>
    </row>
    <row r="23" spans="1:6" x14ac:dyDescent="0.25">
      <c r="A23" t="s">
        <v>53</v>
      </c>
      <c r="B23" t="s">
        <v>52</v>
      </c>
      <c r="C23" t="s">
        <v>8</v>
      </c>
      <c r="D23">
        <f>IFERROR(VLOOKUP(A23,[1]PEDIDO!$A$3:$E$168,3,FALSE),0)</f>
        <v>144</v>
      </c>
      <c r="E23" s="8">
        <f>IFERROR(VLOOKUP(A23,[1]PEDIDO!$A$3:$E$168,4,FALSE),0)</f>
        <v>5000</v>
      </c>
      <c r="F23" s="1">
        <v>7707320479273</v>
      </c>
    </row>
    <row r="24" spans="1:6" x14ac:dyDescent="0.25">
      <c r="A24" t="s">
        <v>54</v>
      </c>
      <c r="B24" t="s">
        <v>55</v>
      </c>
      <c r="C24" t="s">
        <v>8</v>
      </c>
      <c r="D24">
        <f>IFERROR(VLOOKUP(A24,[1]PEDIDO!$A$3:$E$168,3,FALSE),0)</f>
        <v>60</v>
      </c>
      <c r="E24" s="8">
        <f>IFERROR(VLOOKUP(A24,[1]PEDIDO!$A$3:$E$168,4,FALSE),0)</f>
        <v>5000</v>
      </c>
      <c r="F24" s="1">
        <v>7707320472755</v>
      </c>
    </row>
    <row r="25" spans="1:6" x14ac:dyDescent="0.25">
      <c r="A25" t="s">
        <v>56</v>
      </c>
      <c r="B25" t="s">
        <v>57</v>
      </c>
      <c r="C25" t="s">
        <v>58</v>
      </c>
      <c r="D25">
        <f>IFERROR(VLOOKUP(A25,[1]PEDIDO!$A$3:$E$168,3,FALSE),0)</f>
        <v>20</v>
      </c>
      <c r="E25" s="8">
        <f>IFERROR(VLOOKUP(A25,[1]PEDIDO!$A$3:$E$168,4,FALSE),0)</f>
        <v>20000</v>
      </c>
      <c r="F25" s="1">
        <v>7707320479648</v>
      </c>
    </row>
    <row r="26" spans="1:6" x14ac:dyDescent="0.25">
      <c r="A26" t="s">
        <v>59</v>
      </c>
      <c r="B26" t="s">
        <v>60</v>
      </c>
      <c r="C26" t="s">
        <v>8</v>
      </c>
      <c r="D26">
        <f>IFERROR(VLOOKUP(A26,[1]PEDIDO!$A$3:$E$168,3,FALSE),0)</f>
        <v>48</v>
      </c>
      <c r="E26" s="8">
        <f>IFERROR(VLOOKUP(A26,[1]PEDIDO!$A$3:$E$168,4,FALSE),0)</f>
        <v>5000</v>
      </c>
      <c r="F26" s="1">
        <v>7707320478610</v>
      </c>
    </row>
    <row r="27" spans="1:6" x14ac:dyDescent="0.25">
      <c r="A27" t="s">
        <v>61</v>
      </c>
      <c r="B27" t="s">
        <v>62</v>
      </c>
      <c r="C27" t="s">
        <v>63</v>
      </c>
      <c r="D27">
        <f>IFERROR(VLOOKUP(A27,[1]PEDIDO!$A$3:$E$168,3,FALSE),0)</f>
        <v>60</v>
      </c>
      <c r="E27" s="8">
        <f>IFERROR(VLOOKUP(A27,[1]PEDIDO!$A$3:$E$168,4,FALSE),0)</f>
        <v>1000</v>
      </c>
      <c r="F27" s="1">
        <v>7707320474919</v>
      </c>
    </row>
    <row r="28" spans="1:6" x14ac:dyDescent="0.25">
      <c r="A28" t="s">
        <v>64</v>
      </c>
      <c r="B28" t="s">
        <v>62</v>
      </c>
      <c r="C28" t="s">
        <v>65</v>
      </c>
      <c r="D28">
        <f>IFERROR(VLOOKUP(A28,[1]PEDIDO!$A$3:$E$168,3,FALSE),0)</f>
        <v>60</v>
      </c>
      <c r="E28" s="8">
        <f>IFERROR(VLOOKUP(A28,[1]PEDIDO!$A$3:$E$168,4,FALSE),0)</f>
        <v>1000</v>
      </c>
      <c r="F28" s="1">
        <v>7707320474926</v>
      </c>
    </row>
    <row r="29" spans="1:6" x14ac:dyDescent="0.25">
      <c r="A29" t="s">
        <v>66</v>
      </c>
      <c r="B29" t="s">
        <v>67</v>
      </c>
      <c r="C29" t="s">
        <v>8</v>
      </c>
      <c r="D29">
        <f>IFERROR(VLOOKUP(A29,[1]PEDIDO!$A$3:$E$168,3,FALSE),0)</f>
        <v>24</v>
      </c>
      <c r="E29" s="8">
        <f>IFERROR(VLOOKUP(A29,[1]PEDIDO!$A$3:$E$168,4,FALSE),0)</f>
        <v>5000</v>
      </c>
      <c r="F29" s="1">
        <v>7707320479716</v>
      </c>
    </row>
    <row r="30" spans="1:6" x14ac:dyDescent="0.25">
      <c r="A30" t="s">
        <v>68</v>
      </c>
      <c r="B30" t="s">
        <v>69</v>
      </c>
      <c r="C30" t="s">
        <v>8</v>
      </c>
      <c r="D30">
        <f>IFERROR(VLOOKUP(A30,[1]PEDIDO!$A$3:$E$168,3,FALSE),0)</f>
        <v>144</v>
      </c>
      <c r="E30" s="8">
        <f>IFERROR(VLOOKUP(A30,[1]PEDIDO!$A$3:$E$168,4,FALSE),0)</f>
        <v>1000</v>
      </c>
      <c r="F30" s="1">
        <v>7707320476524</v>
      </c>
    </row>
    <row r="31" spans="1:6" x14ac:dyDescent="0.25">
      <c r="A31" t="s">
        <v>70</v>
      </c>
      <c r="B31" t="s">
        <v>71</v>
      </c>
      <c r="C31" t="s">
        <v>8</v>
      </c>
      <c r="D31">
        <f>IFERROR(VLOOKUP(A31,[1]PEDIDO!$A$3:$E$168,3,FALSE),0)</f>
        <v>52</v>
      </c>
      <c r="E31" s="8">
        <f>IFERROR(VLOOKUP(A31,[1]PEDIDO!$A$3:$E$168,4,FALSE),0)</f>
        <v>25000</v>
      </c>
      <c r="F31" s="1">
        <v>7707320479754</v>
      </c>
    </row>
    <row r="32" spans="1:6" x14ac:dyDescent="0.25">
      <c r="A32" t="s">
        <v>72</v>
      </c>
      <c r="B32" t="s">
        <v>73</v>
      </c>
      <c r="C32" t="s">
        <v>8</v>
      </c>
      <c r="D32">
        <f>IFERROR(VLOOKUP(A32,[1]PEDIDO!$A$3:$E$168,3,FALSE),0)</f>
        <v>53</v>
      </c>
      <c r="E32" s="8">
        <f>IFERROR(VLOOKUP(A32,[1]PEDIDO!$A$3:$E$168,4,FALSE),0)</f>
        <v>20000</v>
      </c>
      <c r="F32" s="1">
        <v>7707320478740</v>
      </c>
    </row>
    <row r="33" spans="1:6" x14ac:dyDescent="0.25">
      <c r="A33" t="s">
        <v>74</v>
      </c>
      <c r="B33" t="s">
        <v>75</v>
      </c>
      <c r="C33" t="s">
        <v>8</v>
      </c>
      <c r="D33">
        <f>IFERROR(VLOOKUP(A33,[1]PEDIDO!$A$3:$E$168,3,FALSE),0)</f>
        <v>52</v>
      </c>
      <c r="E33" s="8">
        <f>IFERROR(VLOOKUP(A33,[1]PEDIDO!$A$3:$E$168,4,FALSE),0)</f>
        <v>25000</v>
      </c>
      <c r="F33" s="1">
        <v>7707320473714</v>
      </c>
    </row>
    <row r="34" spans="1:6" x14ac:dyDescent="0.25">
      <c r="A34" t="s">
        <v>76</v>
      </c>
      <c r="B34" t="s">
        <v>77</v>
      </c>
      <c r="C34" t="s">
        <v>8</v>
      </c>
      <c r="D34">
        <f>IFERROR(VLOOKUP(A34,[1]PEDIDO!$A$3:$E$168,3,FALSE),0)</f>
        <v>53</v>
      </c>
      <c r="E34" s="8">
        <f>IFERROR(VLOOKUP(A34,[1]PEDIDO!$A$3:$E$168,4,FALSE),0)</f>
        <v>20000</v>
      </c>
      <c r="F34" s="1">
        <v>7707320478849</v>
      </c>
    </row>
    <row r="35" spans="1:6" x14ac:dyDescent="0.25">
      <c r="A35" t="s">
        <v>78</v>
      </c>
      <c r="B35" t="s">
        <v>79</v>
      </c>
      <c r="C35" t="s">
        <v>8</v>
      </c>
      <c r="D35">
        <f>IFERROR(VLOOKUP(A35,[1]PEDIDO!$A$3:$E$168,3,FALSE),0)</f>
        <v>12</v>
      </c>
      <c r="E35" s="8">
        <f>IFERROR(VLOOKUP(A35,[1]PEDIDO!$A$3:$E$168,4,FALSE),0)</f>
        <v>15000</v>
      </c>
      <c r="F35" s="1">
        <v>7707320477477</v>
      </c>
    </row>
    <row r="36" spans="1:6" x14ac:dyDescent="0.25">
      <c r="A36" t="s">
        <v>80</v>
      </c>
      <c r="B36" t="s">
        <v>81</v>
      </c>
      <c r="C36" t="s">
        <v>8</v>
      </c>
      <c r="D36">
        <f>IFERROR(VLOOKUP(A36,[1]PEDIDO!$A$3:$E$168,3,FALSE),0)</f>
        <v>36</v>
      </c>
      <c r="E36" s="8">
        <f>IFERROR(VLOOKUP(A36,[1]PEDIDO!$A$3:$E$168,4,FALSE),0)</f>
        <v>20000</v>
      </c>
      <c r="F36" s="1">
        <v>7707320478962</v>
      </c>
    </row>
    <row r="37" spans="1:6" x14ac:dyDescent="0.25">
      <c r="A37" t="s">
        <v>82</v>
      </c>
      <c r="B37" t="s">
        <v>83</v>
      </c>
      <c r="C37" t="s">
        <v>8</v>
      </c>
      <c r="D37">
        <f>IFERROR(VLOOKUP(A37,[1]PEDIDO!$A$3:$E$168,3,FALSE),0)</f>
        <v>105</v>
      </c>
      <c r="E37" s="8">
        <f>IFERROR(VLOOKUP(A37,[1]PEDIDO!$A$3:$E$168,4,FALSE),0)</f>
        <v>20000</v>
      </c>
      <c r="F37" s="1">
        <v>7707320474636</v>
      </c>
    </row>
    <row r="38" spans="1:6" x14ac:dyDescent="0.25">
      <c r="A38" t="s">
        <v>84</v>
      </c>
      <c r="B38" t="s">
        <v>85</v>
      </c>
      <c r="C38" t="s">
        <v>8</v>
      </c>
      <c r="D38">
        <f>IFERROR(VLOOKUP(A38,[1]PEDIDO!$A$3:$E$168,3,FALSE),0)</f>
        <v>20</v>
      </c>
      <c r="E38" s="8">
        <f>IFERROR(VLOOKUP(A38,[1]PEDIDO!$A$3:$E$168,4,FALSE),0)</f>
        <v>45000</v>
      </c>
    </row>
    <row r="39" spans="1:6" x14ac:dyDescent="0.25">
      <c r="A39" t="s">
        <v>86</v>
      </c>
      <c r="B39" t="s">
        <v>87</v>
      </c>
      <c r="C39" t="s">
        <v>8</v>
      </c>
      <c r="D39">
        <f>IFERROR(VLOOKUP(A39,[1]PEDIDO!$A$3:$E$168,3,FALSE),0)</f>
        <v>12</v>
      </c>
      <c r="E39" s="8">
        <f>IFERROR(VLOOKUP(A39,[1]PEDIDO!$A$3:$E$168,4,FALSE),0)</f>
        <v>15000</v>
      </c>
      <c r="F39" s="1">
        <v>7707320479440</v>
      </c>
    </row>
    <row r="40" spans="1:6" x14ac:dyDescent="0.25">
      <c r="A40" t="s">
        <v>88</v>
      </c>
      <c r="B40" t="s">
        <v>89</v>
      </c>
      <c r="C40" t="s">
        <v>90</v>
      </c>
      <c r="D40">
        <f>IFERROR(VLOOKUP(A40,[1]PEDIDO!$A$3:$E$168,3,FALSE),0)</f>
        <v>22</v>
      </c>
      <c r="E40" s="8">
        <f>IFERROR(VLOOKUP(A40,[1]PEDIDO!$A$3:$E$168,4,FALSE),0)</f>
        <v>18000</v>
      </c>
      <c r="F40" s="1">
        <v>7707320470300</v>
      </c>
    </row>
    <row r="41" spans="1:6" x14ac:dyDescent="0.25">
      <c r="A41" t="s">
        <v>91</v>
      </c>
      <c r="B41" t="s">
        <v>92</v>
      </c>
      <c r="C41" t="s">
        <v>90</v>
      </c>
      <c r="D41">
        <f>IFERROR(VLOOKUP(A41,[1]PEDIDO!$A$3:$E$168,3,FALSE),0)</f>
        <v>22</v>
      </c>
      <c r="E41" s="8">
        <f>IFERROR(VLOOKUP(A41,[1]PEDIDO!$A$3:$E$168,4,FALSE),0)</f>
        <v>18000</v>
      </c>
      <c r="F41" s="1">
        <v>7707320470317</v>
      </c>
    </row>
    <row r="42" spans="1:6" x14ac:dyDescent="0.25">
      <c r="A42" t="s">
        <v>93</v>
      </c>
      <c r="B42" t="s">
        <v>92</v>
      </c>
      <c r="C42" t="s">
        <v>94</v>
      </c>
      <c r="D42">
        <f>IFERROR(VLOOKUP(A42,[1]PEDIDO!$A$3:$E$168,3,FALSE),0)</f>
        <v>33</v>
      </c>
      <c r="E42" s="8">
        <f>IFERROR(VLOOKUP(A42,[1]PEDIDO!$A$3:$E$168,4,FALSE),0)</f>
        <v>15000</v>
      </c>
      <c r="F42" s="1">
        <v>7707320473561</v>
      </c>
    </row>
    <row r="43" spans="1:6" x14ac:dyDescent="0.25">
      <c r="A43" t="s">
        <v>95</v>
      </c>
      <c r="B43" t="s">
        <v>96</v>
      </c>
      <c r="C43" t="s">
        <v>8</v>
      </c>
      <c r="D43">
        <f>IFERROR(VLOOKUP(A43,[1]PEDIDO!$A$3:$E$168,3,FALSE),0)</f>
        <v>12</v>
      </c>
      <c r="E43" s="8">
        <f>IFERROR(VLOOKUP(A43,[1]PEDIDO!$A$3:$E$168,4,FALSE),0)</f>
        <v>18000</v>
      </c>
      <c r="F43" s="1">
        <v>7707320478542</v>
      </c>
    </row>
    <row r="44" spans="1:6" x14ac:dyDescent="0.25">
      <c r="A44" t="s">
        <v>97</v>
      </c>
      <c r="B44" t="s">
        <v>98</v>
      </c>
      <c r="C44" t="s">
        <v>94</v>
      </c>
      <c r="D44">
        <f>IFERROR(VLOOKUP(A44,[1]PEDIDO!$A$3:$E$168,3,FALSE),0)</f>
        <v>34</v>
      </c>
      <c r="E44" s="8">
        <f>IFERROR(VLOOKUP(A44,[1]PEDIDO!$A$3:$E$168,4,FALSE),0)</f>
        <v>15000</v>
      </c>
      <c r="F44" s="1">
        <v>7707320472274</v>
      </c>
    </row>
    <row r="45" spans="1:6" x14ac:dyDescent="0.25">
      <c r="A45" t="s">
        <v>99</v>
      </c>
      <c r="B45" t="s">
        <v>98</v>
      </c>
      <c r="C45" t="s">
        <v>90</v>
      </c>
      <c r="D45">
        <f>IFERROR(VLOOKUP(A45,[1]PEDIDO!$A$3:$E$168,3,FALSE),0)</f>
        <v>22</v>
      </c>
      <c r="E45" s="8">
        <f>IFERROR(VLOOKUP(A45,[1]PEDIDO!$A$3:$E$168,4,FALSE),0)</f>
        <v>18000</v>
      </c>
      <c r="F45" s="1">
        <v>7707320473547</v>
      </c>
    </row>
    <row r="46" spans="1:6" x14ac:dyDescent="0.25">
      <c r="A46" t="s">
        <v>100</v>
      </c>
      <c r="B46" t="s">
        <v>101</v>
      </c>
      <c r="C46" t="s">
        <v>94</v>
      </c>
      <c r="D46">
        <f>IFERROR(VLOOKUP(A46,[1]PEDIDO!$A$3:$E$168,3,FALSE),0)</f>
        <v>34</v>
      </c>
      <c r="E46" s="8">
        <f>IFERROR(VLOOKUP(A46,[1]PEDIDO!$A$3:$E$168,4,FALSE),0)</f>
        <v>15000</v>
      </c>
      <c r="F46" s="1">
        <v>7707320472267</v>
      </c>
    </row>
    <row r="47" spans="1:6" x14ac:dyDescent="0.25">
      <c r="A47" t="s">
        <v>102</v>
      </c>
      <c r="B47" t="s">
        <v>103</v>
      </c>
      <c r="C47" t="s">
        <v>104</v>
      </c>
      <c r="D47">
        <f>IFERROR(VLOOKUP(A47,[1]PEDIDO!$A$3:$E$168,3,FALSE),0)</f>
        <v>25</v>
      </c>
      <c r="E47" s="8">
        <f>IFERROR(VLOOKUP(A47,[1]PEDIDO!$A$3:$E$168,4,FALSE),0)</f>
        <v>20000</v>
      </c>
      <c r="F47" s="1">
        <v>7707320473646</v>
      </c>
    </row>
    <row r="48" spans="1:6" x14ac:dyDescent="0.25">
      <c r="A48" t="s">
        <v>105</v>
      </c>
      <c r="B48" t="s">
        <v>103</v>
      </c>
      <c r="C48" t="s">
        <v>106</v>
      </c>
      <c r="D48">
        <f>IFERROR(VLOOKUP(A48,[1]PEDIDO!$A$3:$E$168,3,FALSE),0)</f>
        <v>25</v>
      </c>
      <c r="E48" s="8">
        <f>IFERROR(VLOOKUP(A48,[1]PEDIDO!$A$3:$E$168,4,FALSE),0)</f>
        <v>20000</v>
      </c>
      <c r="F48" s="1">
        <v>7707320473653</v>
      </c>
    </row>
    <row r="49" spans="1:6" x14ac:dyDescent="0.25">
      <c r="A49" t="s">
        <v>107</v>
      </c>
      <c r="B49" t="s">
        <v>103</v>
      </c>
      <c r="C49" t="s">
        <v>108</v>
      </c>
      <c r="D49">
        <f>IFERROR(VLOOKUP(A49,[1]PEDIDO!$A$3:$E$168,3,FALSE),0)</f>
        <v>25</v>
      </c>
      <c r="E49" s="8">
        <f>IFERROR(VLOOKUP(A49,[1]PEDIDO!$A$3:$E$168,4,FALSE),0)</f>
        <v>20000</v>
      </c>
      <c r="F49" s="1">
        <v>7707320473639</v>
      </c>
    </row>
    <row r="50" spans="1:6" x14ac:dyDescent="0.25">
      <c r="A50" t="s">
        <v>109</v>
      </c>
      <c r="B50" t="s">
        <v>103</v>
      </c>
      <c r="C50" t="s">
        <v>110</v>
      </c>
      <c r="D50">
        <f>IFERROR(VLOOKUP(A50,[1]PEDIDO!$A$3:$E$168,3,FALSE),0)</f>
        <v>25</v>
      </c>
      <c r="E50" s="8">
        <f>IFERROR(VLOOKUP(A50,[1]PEDIDO!$A$3:$E$168,4,FALSE),0)</f>
        <v>20000</v>
      </c>
      <c r="F50" s="1">
        <v>7707320473622</v>
      </c>
    </row>
    <row r="51" spans="1:6" x14ac:dyDescent="0.25">
      <c r="A51" t="s">
        <v>111</v>
      </c>
      <c r="B51" t="s">
        <v>112</v>
      </c>
      <c r="C51" t="s">
        <v>8</v>
      </c>
      <c r="D51">
        <f>IFERROR(VLOOKUP(A51,[1]PEDIDO!$A$3:$E$168,3,FALSE),0)</f>
        <v>12</v>
      </c>
      <c r="E51" s="8">
        <f>IFERROR(VLOOKUP(A51,[1]PEDIDO!$A$3:$E$168,4,FALSE),0)</f>
        <v>15000</v>
      </c>
      <c r="F51" s="1">
        <v>7707320470461</v>
      </c>
    </row>
    <row r="52" spans="1:6" x14ac:dyDescent="0.25">
      <c r="A52" t="s">
        <v>113</v>
      </c>
      <c r="B52" t="s">
        <v>114</v>
      </c>
      <c r="C52" t="s">
        <v>8</v>
      </c>
      <c r="D52">
        <f>IFERROR(VLOOKUP(A52,[1]PEDIDO!$A$3:$E$168,3,FALSE),0)</f>
        <v>5</v>
      </c>
      <c r="E52" s="8">
        <f>IFERROR(VLOOKUP(A52,[1]PEDIDO!$A$3:$E$168,4,FALSE),0)</f>
        <v>1000</v>
      </c>
      <c r="F52" s="1">
        <v>7707320471239</v>
      </c>
    </row>
    <row r="53" spans="1:6" x14ac:dyDescent="0.25">
      <c r="A53" t="s">
        <v>115</v>
      </c>
      <c r="B53" t="s">
        <v>116</v>
      </c>
      <c r="C53" t="s">
        <v>117</v>
      </c>
      <c r="D53">
        <f>IFERROR(VLOOKUP(A53,[1]PEDIDO!$A$3:$E$168,3,FALSE),0)</f>
        <v>56</v>
      </c>
      <c r="E53" s="8">
        <f>IFERROR(VLOOKUP(A53,[1]PEDIDO!$A$3:$E$168,4,FALSE),0)</f>
        <v>15000</v>
      </c>
      <c r="F53" s="1">
        <v>7707320475442</v>
      </c>
    </row>
    <row r="54" spans="1:6" x14ac:dyDescent="0.25">
      <c r="A54" t="s">
        <v>118</v>
      </c>
      <c r="B54" t="s">
        <v>116</v>
      </c>
      <c r="C54" t="s">
        <v>119</v>
      </c>
      <c r="D54">
        <f>IFERROR(VLOOKUP(A54,[1]PEDIDO!$A$3:$E$168,3,FALSE),0)</f>
        <v>35</v>
      </c>
      <c r="E54" s="8">
        <f>IFERROR(VLOOKUP(A54,[1]PEDIDO!$A$3:$E$168,4,FALSE),0)</f>
        <v>18000</v>
      </c>
      <c r="F54" s="1">
        <v>7707320476685</v>
      </c>
    </row>
    <row r="55" spans="1:6" x14ac:dyDescent="0.25">
      <c r="A55" t="s">
        <v>120</v>
      </c>
      <c r="B55" t="s">
        <v>116</v>
      </c>
      <c r="C55" t="s">
        <v>121</v>
      </c>
      <c r="D55">
        <f>IFERROR(VLOOKUP(A55,[1]PEDIDO!$A$3:$E$168,3,FALSE),0)</f>
        <v>5</v>
      </c>
      <c r="E55" s="8">
        <f>IFERROR(VLOOKUP(A55,[1]PEDIDO!$A$3:$E$168,4,FALSE),0)</f>
        <v>23000</v>
      </c>
      <c r="F55" s="1">
        <v>7707320476692</v>
      </c>
    </row>
    <row r="56" spans="1:6" x14ac:dyDescent="0.25">
      <c r="A56" t="s">
        <v>122</v>
      </c>
      <c r="B56" t="s">
        <v>123</v>
      </c>
      <c r="C56" t="s">
        <v>124</v>
      </c>
      <c r="D56">
        <f>IFERROR(VLOOKUP(A56,[1]PEDIDO!$A$3:$E$168,3,FALSE),0)</f>
        <v>48</v>
      </c>
      <c r="E56" s="8">
        <f>IFERROR(VLOOKUP(A56,[1]PEDIDO!$A$3:$E$168,4,FALSE),0)</f>
        <v>10000</v>
      </c>
      <c r="F56" s="1">
        <v>7707320478863</v>
      </c>
    </row>
    <row r="57" spans="1:6" x14ac:dyDescent="0.25">
      <c r="A57" t="s">
        <v>125</v>
      </c>
      <c r="B57" t="s">
        <v>126</v>
      </c>
      <c r="C57" t="s">
        <v>8</v>
      </c>
      <c r="D57">
        <v>12</v>
      </c>
      <c r="E57" s="8">
        <v>15000</v>
      </c>
      <c r="F57" s="1">
        <v>7707320473014</v>
      </c>
    </row>
    <row r="58" spans="1:6" x14ac:dyDescent="0.25">
      <c r="A58" t="s">
        <v>127</v>
      </c>
      <c r="B58" t="s">
        <v>128</v>
      </c>
      <c r="C58" t="s">
        <v>129</v>
      </c>
      <c r="D58">
        <f>IFERROR(VLOOKUP(A58,[1]PEDIDO!$A$3:$E$168,3,FALSE),0)</f>
        <v>20</v>
      </c>
      <c r="E58" s="8">
        <f>IFERROR(VLOOKUP(A58,[1]PEDIDO!$A$3:$E$168,4,FALSE),0)</f>
        <v>19000</v>
      </c>
      <c r="F58" s="1">
        <v>7707320477705</v>
      </c>
    </row>
    <row r="59" spans="1:6" x14ac:dyDescent="0.25">
      <c r="A59" t="s">
        <v>130</v>
      </c>
      <c r="B59" t="s">
        <v>131</v>
      </c>
      <c r="C59" t="s">
        <v>132</v>
      </c>
      <c r="D59">
        <f>IFERROR(VLOOKUP(A59,[1]PEDIDO!$A$3:$E$168,3,FALSE),0)</f>
        <v>48</v>
      </c>
      <c r="E59" s="8">
        <f>IFERROR(VLOOKUP(A59,[1]PEDIDO!$A$3:$E$168,4,FALSE),0)</f>
        <v>25000</v>
      </c>
      <c r="F59" s="1" t="s">
        <v>133</v>
      </c>
    </row>
    <row r="60" spans="1:6" x14ac:dyDescent="0.25">
      <c r="A60" t="s">
        <v>130</v>
      </c>
      <c r="B60" t="s">
        <v>131</v>
      </c>
      <c r="C60" t="s">
        <v>134</v>
      </c>
      <c r="D60">
        <f>IFERROR(VLOOKUP(A60,[1]PEDIDO!$A$3:$E$168,3,FALSE),0)</f>
        <v>48</v>
      </c>
      <c r="E60" s="8">
        <f>IFERROR(VLOOKUP(A60,[1]PEDIDO!$A$3:$E$168,4,FALSE),0)</f>
        <v>25000</v>
      </c>
    </row>
    <row r="61" spans="1:6" x14ac:dyDescent="0.25">
      <c r="A61" t="s">
        <v>130</v>
      </c>
      <c r="B61" t="s">
        <v>131</v>
      </c>
      <c r="C61" t="s">
        <v>135</v>
      </c>
      <c r="D61">
        <f>IFERROR(VLOOKUP(A61,[1]PEDIDO!$A$3:$E$168,3,FALSE),0)</f>
        <v>48</v>
      </c>
      <c r="E61" s="8">
        <f>IFERROR(VLOOKUP(A61,[1]PEDIDO!$A$3:$E$168,4,FALSE),0)</f>
        <v>25000</v>
      </c>
    </row>
    <row r="62" spans="1:6" x14ac:dyDescent="0.25">
      <c r="A62" t="s">
        <v>130</v>
      </c>
      <c r="B62" t="s">
        <v>131</v>
      </c>
      <c r="C62" t="s">
        <v>136</v>
      </c>
      <c r="D62">
        <f>IFERROR(VLOOKUP(A62,[1]PEDIDO!$A$3:$E$168,3,FALSE),0)</f>
        <v>48</v>
      </c>
      <c r="E62" s="8">
        <f>IFERROR(VLOOKUP(A62,[1]PEDIDO!$A$3:$E$168,4,FALSE),0)</f>
        <v>25000</v>
      </c>
    </row>
    <row r="63" spans="1:6" x14ac:dyDescent="0.25">
      <c r="A63" t="s">
        <v>130</v>
      </c>
      <c r="B63" t="s">
        <v>131</v>
      </c>
      <c r="C63" t="s">
        <v>137</v>
      </c>
      <c r="D63">
        <f>IFERROR(VLOOKUP(A63,[1]PEDIDO!$A$3:$E$168,3,FALSE),0)</f>
        <v>48</v>
      </c>
      <c r="E63" s="8">
        <f>IFERROR(VLOOKUP(A63,[1]PEDIDO!$A$3:$E$168,4,FALSE),0)</f>
        <v>25000</v>
      </c>
    </row>
    <row r="64" spans="1:6" x14ac:dyDescent="0.25">
      <c r="A64" t="s">
        <v>130</v>
      </c>
      <c r="B64" t="s">
        <v>131</v>
      </c>
      <c r="C64" t="s">
        <v>138</v>
      </c>
      <c r="D64">
        <f>IFERROR(VLOOKUP(A64,[1]PEDIDO!$A$3:$E$168,3,FALSE),0)</f>
        <v>48</v>
      </c>
      <c r="E64" s="8">
        <f>IFERROR(VLOOKUP(A64,[1]PEDIDO!$A$3:$E$168,4,FALSE),0)</f>
        <v>25000</v>
      </c>
    </row>
    <row r="65" spans="1:6" x14ac:dyDescent="0.25">
      <c r="A65" t="s">
        <v>139</v>
      </c>
      <c r="B65" t="s">
        <v>140</v>
      </c>
      <c r="C65" t="s">
        <v>141</v>
      </c>
      <c r="D65">
        <f>IFERROR(VLOOKUP(A65,[1]PEDIDO!$A$3:$E$168,3,FALSE),0)</f>
        <v>24</v>
      </c>
      <c r="E65" s="8">
        <f>IFERROR(VLOOKUP(A65,[1]PEDIDO!$A$3:$E$168,4,FALSE),0)</f>
        <v>20000</v>
      </c>
    </row>
    <row r="66" spans="1:6" x14ac:dyDescent="0.25">
      <c r="A66" t="s">
        <v>142</v>
      </c>
      <c r="B66" t="s">
        <v>143</v>
      </c>
      <c r="C66" t="s">
        <v>144</v>
      </c>
      <c r="D66">
        <f>IFERROR(VLOOKUP(A66,[1]PEDIDO!$A$3:$E$168,3,FALSE),0)</f>
        <v>144</v>
      </c>
      <c r="E66" s="8">
        <f>IFERROR(VLOOKUP(A66,[1]PEDIDO!$A$3:$E$168,4,FALSE),0)</f>
        <v>1000</v>
      </c>
      <c r="F66" s="1">
        <v>7707320473721</v>
      </c>
    </row>
    <row r="67" spans="1:6" x14ac:dyDescent="0.25">
      <c r="A67" t="s">
        <v>145</v>
      </c>
      <c r="B67" t="s">
        <v>146</v>
      </c>
      <c r="C67" t="s">
        <v>147</v>
      </c>
      <c r="D67">
        <f>IFERROR(VLOOKUP(A67,[1]PEDIDO!$A$3:$E$168,3,FALSE),0)</f>
        <v>12</v>
      </c>
      <c r="E67" s="8">
        <f>IFERROR(VLOOKUP(A67,[1]PEDIDO!$A$3:$E$168,4,FALSE),0)</f>
        <v>15000</v>
      </c>
      <c r="F67" s="1">
        <v>7707320471697</v>
      </c>
    </row>
    <row r="68" spans="1:6" x14ac:dyDescent="0.25">
      <c r="A68" t="s">
        <v>148</v>
      </c>
      <c r="B68" t="s">
        <v>149</v>
      </c>
      <c r="C68" t="s">
        <v>150</v>
      </c>
      <c r="D68">
        <f>IFERROR(VLOOKUP(A68,[1]PEDIDO!$A$3:$E$168,3,FALSE),0)</f>
        <v>12</v>
      </c>
      <c r="E68" s="8">
        <f>IFERROR(VLOOKUP(A68,[1]PEDIDO!$A$3:$E$168,4,FALSE),0)</f>
        <v>13000</v>
      </c>
      <c r="F68" s="1">
        <v>7707320470164</v>
      </c>
    </row>
    <row r="69" spans="1:6" x14ac:dyDescent="0.25">
      <c r="A69" t="s">
        <v>151</v>
      </c>
      <c r="B69" t="s">
        <v>149</v>
      </c>
      <c r="C69" t="s">
        <v>152</v>
      </c>
      <c r="D69">
        <f>IFERROR(VLOOKUP(A69,[1]PEDIDO!$A$3:$E$168,3,FALSE),0)</f>
        <v>12</v>
      </c>
      <c r="E69" s="8">
        <f>IFERROR(VLOOKUP(A69,[1]PEDIDO!$A$3:$E$168,4,FALSE),0)</f>
        <v>15000</v>
      </c>
      <c r="F69" s="1">
        <v>7707320470157</v>
      </c>
    </row>
    <row r="70" spans="1:6" x14ac:dyDescent="0.25">
      <c r="A70" t="s">
        <v>153</v>
      </c>
      <c r="B70" t="s">
        <v>154</v>
      </c>
      <c r="C70" t="s">
        <v>155</v>
      </c>
      <c r="D70">
        <f>IFERROR(VLOOKUP(A70,[1]PEDIDO!$A$3:$E$168,3,FALSE),0)</f>
        <v>18</v>
      </c>
      <c r="E70" s="8">
        <f>IFERROR(VLOOKUP(A70,[1]PEDIDO!$A$3:$E$168,4,FALSE),0)</f>
        <v>5000</v>
      </c>
    </row>
    <row r="71" spans="1:6" x14ac:dyDescent="0.25">
      <c r="A71" t="s">
        <v>156</v>
      </c>
      <c r="B71" t="s">
        <v>157</v>
      </c>
      <c r="C71" t="s">
        <v>158</v>
      </c>
      <c r="D71">
        <f>IFERROR(VLOOKUP(A71,[1]PEDIDO!$A$3:$E$168,3,FALSE),0)</f>
        <v>12</v>
      </c>
      <c r="E71" s="8">
        <f>IFERROR(VLOOKUP(A71,[1]PEDIDO!$A$3:$E$168,4,FALSE),0)</f>
        <v>45000</v>
      </c>
      <c r="F71" s="1">
        <v>7707320479709</v>
      </c>
    </row>
    <row r="72" spans="1:6" x14ac:dyDescent="0.25">
      <c r="A72" t="s">
        <v>159</v>
      </c>
      <c r="B72" t="s">
        <v>160</v>
      </c>
      <c r="C72" t="s">
        <v>8</v>
      </c>
      <c r="D72">
        <f>IFERROR(VLOOKUP(A72,[1]PEDIDO!$A$3:$E$168,3,FALSE),0)</f>
        <v>60</v>
      </c>
      <c r="E72" s="8">
        <f>IFERROR(VLOOKUP(A72,[1]PEDIDO!$A$3:$E$168,4,FALSE),0)</f>
        <v>1000</v>
      </c>
      <c r="F72" s="1">
        <v>7707320478696</v>
      </c>
    </row>
    <row r="73" spans="1:6" x14ac:dyDescent="0.25">
      <c r="A73" t="s">
        <v>161</v>
      </c>
      <c r="B73" t="s">
        <v>162</v>
      </c>
      <c r="C73" t="s">
        <v>8</v>
      </c>
      <c r="D73">
        <f>IFERROR(VLOOKUP(A73,[1]PEDIDO!$A$3:$E$168,3,FALSE),0)</f>
        <v>11</v>
      </c>
      <c r="E73" s="8">
        <f>IFERROR(VLOOKUP(A73,[1]PEDIDO!$A$3:$E$168,4,FALSE),0)</f>
        <v>15000</v>
      </c>
      <c r="F73" s="1">
        <v>7707320470041</v>
      </c>
    </row>
    <row r="74" spans="1:6" x14ac:dyDescent="0.25">
      <c r="A74" t="s">
        <v>163</v>
      </c>
      <c r="B74" t="s">
        <v>164</v>
      </c>
      <c r="C74" t="s">
        <v>117</v>
      </c>
      <c r="D74">
        <f>IFERROR(VLOOKUP(A74,[1]PEDIDO!$A$3:$E$168,3,FALSE),0)</f>
        <v>56</v>
      </c>
      <c r="E74" s="8">
        <f>IFERROR(VLOOKUP(A74,[1]PEDIDO!$A$3:$E$168,4,FALSE),0)</f>
        <v>10000</v>
      </c>
      <c r="F74" s="1" t="s">
        <v>165</v>
      </c>
    </row>
    <row r="75" spans="1:6" x14ac:dyDescent="0.25">
      <c r="A75" t="s">
        <v>166</v>
      </c>
      <c r="B75" t="s">
        <v>164</v>
      </c>
      <c r="C75" t="s">
        <v>121</v>
      </c>
      <c r="D75">
        <v>20</v>
      </c>
      <c r="E75" s="8">
        <v>20000</v>
      </c>
      <c r="F75" s="1">
        <v>7707320479471</v>
      </c>
    </row>
    <row r="76" spans="1:6" x14ac:dyDescent="0.25">
      <c r="A76" t="s">
        <v>167</v>
      </c>
      <c r="B76" t="s">
        <v>168</v>
      </c>
      <c r="C76" t="s">
        <v>117</v>
      </c>
      <c r="D76">
        <f>IFERROR(VLOOKUP(A76,[1]PEDIDO!$A$3:$E$168,3,FALSE),0)</f>
        <v>56</v>
      </c>
      <c r="E76" s="8">
        <f>IFERROR(VLOOKUP(A76,[1]PEDIDO!$A$3:$E$168,4,FALSE),0)</f>
        <v>15000</v>
      </c>
      <c r="F76" s="1">
        <v>7707320478931</v>
      </c>
    </row>
    <row r="77" spans="1:6" x14ac:dyDescent="0.25">
      <c r="A77" t="s">
        <v>169</v>
      </c>
      <c r="B77" t="s">
        <v>168</v>
      </c>
      <c r="C77" t="s">
        <v>121</v>
      </c>
      <c r="D77">
        <f>IFERROR(VLOOKUP(A77,[1]PEDIDO!$A$3:$E$168,3,FALSE),0)</f>
        <v>15</v>
      </c>
      <c r="E77" s="8">
        <f>IFERROR(VLOOKUP(A77,[1]PEDIDO!$A$3:$E$168,4,FALSE),0)</f>
        <v>25000</v>
      </c>
      <c r="F77" s="1">
        <v>7707320477316</v>
      </c>
    </row>
    <row r="78" spans="1:6" x14ac:dyDescent="0.25">
      <c r="A78" t="s">
        <v>170</v>
      </c>
      <c r="B78" t="s">
        <v>171</v>
      </c>
      <c r="C78" t="s">
        <v>8</v>
      </c>
      <c r="D78">
        <f>IFERROR(VLOOKUP(A78,[1]PEDIDO!$A$3:$E$168,3,FALSE),0)</f>
        <v>144</v>
      </c>
      <c r="E78" s="8">
        <f>IFERROR(VLOOKUP(A78,[1]PEDIDO!$A$3:$E$168,4,FALSE),0)</f>
        <v>1000</v>
      </c>
      <c r="F78" s="1">
        <v>7707320479532</v>
      </c>
    </row>
    <row r="79" spans="1:6" x14ac:dyDescent="0.25">
      <c r="A79" t="s">
        <v>172</v>
      </c>
      <c r="B79" t="s">
        <v>173</v>
      </c>
      <c r="C79" t="s">
        <v>8</v>
      </c>
      <c r="D79">
        <f>IFERROR(VLOOKUP(A79,[1]PEDIDO!$A$3:$E$168,3,FALSE),0)</f>
        <v>144</v>
      </c>
      <c r="E79" s="8">
        <f>IFERROR(VLOOKUP(A79,[1]PEDIDO!$A$3:$E$168,4,FALSE),0)</f>
        <v>2000</v>
      </c>
      <c r="F79" s="1">
        <v>7707320477385</v>
      </c>
    </row>
    <row r="80" spans="1:6" x14ac:dyDescent="0.25">
      <c r="A80" t="s">
        <v>174</v>
      </c>
      <c r="B80" t="s">
        <v>175</v>
      </c>
      <c r="C80" t="s">
        <v>8</v>
      </c>
      <c r="D80">
        <f>IFERROR(VLOOKUP(A80,[1]PEDIDO!$A$3:$E$168,3,FALSE),0)</f>
        <v>60</v>
      </c>
      <c r="E80" s="8">
        <f>IFERROR(VLOOKUP(A80,[1]PEDIDO!$A$3:$E$168,4,FALSE),0)</f>
        <v>2000</v>
      </c>
      <c r="F80" s="1">
        <v>7707320479181</v>
      </c>
    </row>
    <row r="81" spans="1:6" x14ac:dyDescent="0.25">
      <c r="A81" t="s">
        <v>176</v>
      </c>
      <c r="B81" t="s">
        <v>177</v>
      </c>
      <c r="C81" t="s">
        <v>8</v>
      </c>
      <c r="D81">
        <f>IFERROR(VLOOKUP(A81,[1]PEDIDO!$A$3:$E$168,3,FALSE),0)</f>
        <v>60</v>
      </c>
      <c r="E81" s="8">
        <f>IFERROR(VLOOKUP(A81,[1]PEDIDO!$A$3:$E$168,4,FALSE),0)</f>
        <v>1000</v>
      </c>
      <c r="F81" s="1">
        <v>7707320475886</v>
      </c>
    </row>
    <row r="82" spans="1:6" x14ac:dyDescent="0.25">
      <c r="A82" t="s">
        <v>178</v>
      </c>
      <c r="B82" t="s">
        <v>179</v>
      </c>
      <c r="C82" t="s">
        <v>8</v>
      </c>
      <c r="D82">
        <f>IFERROR(VLOOKUP(A82,[1]PEDIDO!$A$3:$E$168,3,FALSE),0)</f>
        <v>48</v>
      </c>
      <c r="E82" s="8">
        <f>IFERROR(VLOOKUP(A82,[1]PEDIDO!$A$3:$E$168,4,FALSE),0)</f>
        <v>1000</v>
      </c>
      <c r="F82" s="1">
        <v>7707320476999</v>
      </c>
    </row>
    <row r="83" spans="1:6" x14ac:dyDescent="0.25">
      <c r="A83" t="s">
        <v>180</v>
      </c>
      <c r="B83" t="s">
        <v>181</v>
      </c>
      <c r="C83" t="s">
        <v>8</v>
      </c>
      <c r="D83">
        <f>IFERROR(VLOOKUP(A83,[1]PEDIDO!$A$3:$E$168,3,FALSE),0)</f>
        <v>144</v>
      </c>
      <c r="E83" s="8">
        <f>IFERROR(VLOOKUP(A83,[1]PEDIDO!$A$3:$E$168,4,FALSE),0)</f>
        <v>1000</v>
      </c>
      <c r="F83" s="1">
        <v>7707320477781</v>
      </c>
    </row>
    <row r="84" spans="1:6" x14ac:dyDescent="0.25">
      <c r="A84" t="s">
        <v>182</v>
      </c>
      <c r="B84" t="s">
        <v>183</v>
      </c>
      <c r="C84" t="s">
        <v>184</v>
      </c>
      <c r="D84">
        <f>IFERROR(VLOOKUP(A84,[1]PEDIDO!$A$3:$E$168,3,FALSE),0)</f>
        <v>18</v>
      </c>
      <c r="E84" s="8">
        <f>IFERROR(VLOOKUP(A84,[1]PEDIDO!$A$3:$E$168,4,FALSE),0)</f>
        <v>10000</v>
      </c>
    </row>
    <row r="85" spans="1:6" x14ac:dyDescent="0.25">
      <c r="A85" t="s">
        <v>182</v>
      </c>
      <c r="B85" t="s">
        <v>183</v>
      </c>
      <c r="C85" t="s">
        <v>185</v>
      </c>
      <c r="D85">
        <f>IFERROR(VLOOKUP(A85,[1]PEDIDO!$A$3:$E$168,3,FALSE),0)</f>
        <v>18</v>
      </c>
      <c r="E85" s="8">
        <f>IFERROR(VLOOKUP(A85,[1]PEDIDO!$A$3:$E$168,4,FALSE),0)</f>
        <v>10000</v>
      </c>
    </row>
    <row r="86" spans="1:6" x14ac:dyDescent="0.25">
      <c r="A86" t="s">
        <v>182</v>
      </c>
      <c r="B86" t="s">
        <v>183</v>
      </c>
      <c r="C86" t="s">
        <v>186</v>
      </c>
      <c r="D86">
        <f>IFERROR(VLOOKUP(A86,[1]PEDIDO!$A$3:$E$168,3,FALSE),0)</f>
        <v>18</v>
      </c>
      <c r="E86" s="8">
        <f>IFERROR(VLOOKUP(A86,[1]PEDIDO!$A$3:$E$168,4,FALSE),0)</f>
        <v>10000</v>
      </c>
    </row>
    <row r="87" spans="1:6" x14ac:dyDescent="0.25">
      <c r="A87" t="s">
        <v>182</v>
      </c>
      <c r="B87" t="s">
        <v>183</v>
      </c>
      <c r="C87" t="s">
        <v>187</v>
      </c>
      <c r="D87">
        <f>IFERROR(VLOOKUP(A87,[1]PEDIDO!$A$3:$E$168,3,FALSE),0)</f>
        <v>18</v>
      </c>
      <c r="E87" s="8">
        <f>IFERROR(VLOOKUP(A87,[1]PEDIDO!$A$3:$E$168,4,FALSE),0)</f>
        <v>10000</v>
      </c>
    </row>
    <row r="88" spans="1:6" x14ac:dyDescent="0.25">
      <c r="A88" t="s">
        <v>188</v>
      </c>
      <c r="B88" t="s">
        <v>189</v>
      </c>
      <c r="C88" t="s">
        <v>190</v>
      </c>
      <c r="D88">
        <f>IFERROR(VLOOKUP(A88,[1]PEDIDO!$A$3:$E$168,3,FALSE),0)</f>
        <v>18</v>
      </c>
      <c r="E88" s="8">
        <f>IFERROR(VLOOKUP(A88,[1]PEDIDO!$A$3:$E$168,4,FALSE),0)</f>
        <v>15000</v>
      </c>
      <c r="F88" s="1">
        <v>7707320479563</v>
      </c>
    </row>
    <row r="89" spans="1:6" x14ac:dyDescent="0.25">
      <c r="A89" t="s">
        <v>191</v>
      </c>
      <c r="B89" t="s">
        <v>192</v>
      </c>
      <c r="C89" t="s">
        <v>8</v>
      </c>
      <c r="D89">
        <f>IFERROR(VLOOKUP(A89,[1]PEDIDO!$A$3:$E$168,3,FALSE),0)</f>
        <v>144</v>
      </c>
      <c r="E89" s="8">
        <f>IFERROR(VLOOKUP(A89,[1]PEDIDO!$A$3:$E$168,4,FALSE),0)</f>
        <v>1000</v>
      </c>
      <c r="F89" s="1">
        <v>7707320473332</v>
      </c>
    </row>
    <row r="90" spans="1:6" x14ac:dyDescent="0.25">
      <c r="A90" t="s">
        <v>193</v>
      </c>
      <c r="B90" t="s">
        <v>194</v>
      </c>
      <c r="C90" t="s">
        <v>8</v>
      </c>
      <c r="D90">
        <f>IFERROR(VLOOKUP(A90,[1]PEDIDO!$A$3:$E$168,3,FALSE),0)</f>
        <v>60</v>
      </c>
      <c r="E90" s="8">
        <f>IFERROR(VLOOKUP(A90,[1]PEDIDO!$A$3:$E$168,4,FALSE),0)</f>
        <v>1000</v>
      </c>
      <c r="F90" s="1">
        <v>7707320474810</v>
      </c>
    </row>
    <row r="91" spans="1:6" x14ac:dyDescent="0.25">
      <c r="A91" t="s">
        <v>195</v>
      </c>
      <c r="B91" t="s">
        <v>196</v>
      </c>
      <c r="C91" t="s">
        <v>8</v>
      </c>
      <c r="D91">
        <f>IFERROR(VLOOKUP(A91,[1]PEDIDO!$A$3:$E$168,3,FALSE),0)</f>
        <v>60</v>
      </c>
      <c r="E91" s="8">
        <f>IFERROR(VLOOKUP(A91,[1]PEDIDO!$A$3:$E$168,4,FALSE),0)</f>
        <v>1000</v>
      </c>
      <c r="F91" s="1">
        <v>7707320474827</v>
      </c>
    </row>
    <row r="92" spans="1:6" x14ac:dyDescent="0.25">
      <c r="A92" t="s">
        <v>197</v>
      </c>
      <c r="B92" t="s">
        <v>198</v>
      </c>
      <c r="C92" t="s">
        <v>8</v>
      </c>
      <c r="D92">
        <f>IFERROR(VLOOKUP(A92,[1]PEDIDO!$A$3:$E$168,3,FALSE),0)</f>
        <v>144</v>
      </c>
      <c r="E92" s="8">
        <f>IFERROR(VLOOKUP(A92,[1]PEDIDO!$A$3:$E$168,4,FALSE),0)</f>
        <v>1000</v>
      </c>
      <c r="F92" s="1">
        <v>7707320478351</v>
      </c>
    </row>
    <row r="93" spans="1:6" x14ac:dyDescent="0.25">
      <c r="A93" t="s">
        <v>199</v>
      </c>
      <c r="B93" t="s">
        <v>200</v>
      </c>
      <c r="C93" t="s">
        <v>201</v>
      </c>
      <c r="D93">
        <f>IFERROR(VLOOKUP(A93,[1]PEDIDO!$A$3:$E$168,3,FALSE),0)</f>
        <v>24</v>
      </c>
      <c r="E93" s="8">
        <f>IFERROR(VLOOKUP(A93,[1]PEDIDO!$A$3:$E$168,4,FALSE),0)</f>
        <v>19000</v>
      </c>
    </row>
    <row r="94" spans="1:6" x14ac:dyDescent="0.25">
      <c r="A94" t="s">
        <v>202</v>
      </c>
      <c r="B94" t="s">
        <v>203</v>
      </c>
      <c r="C94" t="s">
        <v>8</v>
      </c>
      <c r="D94">
        <f>IFERROR(VLOOKUP(A94,[1]PEDIDO!$A$3:$E$168,3,FALSE),0)</f>
        <v>36</v>
      </c>
      <c r="E94" s="8">
        <f>IFERROR(VLOOKUP(A94,[1]PEDIDO!$A$3:$E$168,4,FALSE),0)</f>
        <v>35000</v>
      </c>
      <c r="F94" s="1">
        <v>7707320475756</v>
      </c>
    </row>
    <row r="95" spans="1:6" x14ac:dyDescent="0.25">
      <c r="A95" t="s">
        <v>204</v>
      </c>
      <c r="B95" t="s">
        <v>205</v>
      </c>
      <c r="C95" t="s">
        <v>8</v>
      </c>
      <c r="D95">
        <f>IFERROR(VLOOKUP(A95,[1]PEDIDO!$A$3:$E$168,3,FALSE),0)</f>
        <v>36</v>
      </c>
      <c r="E95" s="8">
        <f>IFERROR(VLOOKUP(A95,[1]PEDIDO!$A$3:$E$168,4,FALSE),0)</f>
        <v>40000</v>
      </c>
      <c r="F95" s="1">
        <v>7707320475749</v>
      </c>
    </row>
    <row r="96" spans="1:6" x14ac:dyDescent="0.25">
      <c r="A96" t="s">
        <v>206</v>
      </c>
      <c r="B96" t="s">
        <v>207</v>
      </c>
      <c r="C96" t="s">
        <v>8</v>
      </c>
      <c r="D96">
        <f>IFERROR(VLOOKUP(A96,[1]PEDIDO!$A$3:$E$168,3,FALSE),0)</f>
        <v>144</v>
      </c>
      <c r="E96" s="8">
        <f>IFERROR(VLOOKUP(A96,[1]PEDIDO!$A$3:$E$168,4,FALSE),0)</f>
        <v>3000</v>
      </c>
      <c r="F96" s="1">
        <v>7707320476517</v>
      </c>
    </row>
    <row r="97" spans="1:6" x14ac:dyDescent="0.25">
      <c r="A97" t="s">
        <v>208</v>
      </c>
      <c r="B97" t="s">
        <v>209</v>
      </c>
      <c r="C97" t="s">
        <v>8</v>
      </c>
      <c r="D97">
        <f>IFERROR(VLOOKUP(A97,[1]PEDIDO!$A$3:$E$168,3,FALSE),0)</f>
        <v>11</v>
      </c>
      <c r="E97" s="8">
        <f>IFERROR(VLOOKUP(A97,[1]PEDIDO!$A$3:$E$168,4,FALSE),0)</f>
        <v>10000</v>
      </c>
      <c r="F97" s="1">
        <v>7707320478016</v>
      </c>
    </row>
    <row r="98" spans="1:6" x14ac:dyDescent="0.25">
      <c r="A98" t="s">
        <v>210</v>
      </c>
      <c r="B98" t="s">
        <v>211</v>
      </c>
      <c r="C98" t="s">
        <v>212</v>
      </c>
      <c r="D98">
        <f>IFERROR(VLOOKUP(A98,[1]PEDIDO!$A$3:$E$168,3,FALSE),0)</f>
        <v>5</v>
      </c>
      <c r="E98" s="8">
        <f>IFERROR(VLOOKUP(A98,[1]PEDIDO!$A$3:$E$168,4,FALSE),0)</f>
        <v>50000</v>
      </c>
    </row>
    <row r="99" spans="1:6" x14ac:dyDescent="0.25">
      <c r="A99" t="s">
        <v>213</v>
      </c>
      <c r="B99" t="s">
        <v>214</v>
      </c>
      <c r="C99" t="s">
        <v>215</v>
      </c>
      <c r="D99">
        <f>IFERROR(VLOOKUP(A99,[1]PEDIDO!$A$3:$E$168,3,FALSE),0)</f>
        <v>10</v>
      </c>
      <c r="E99" s="8">
        <f>IFERROR(VLOOKUP(A99,[1]PEDIDO!$A$3:$E$168,4,FALSE),0)</f>
        <v>15000</v>
      </c>
    </row>
    <row r="100" spans="1:6" x14ac:dyDescent="0.25">
      <c r="A100" t="s">
        <v>216</v>
      </c>
      <c r="B100" t="s">
        <v>214</v>
      </c>
      <c r="C100" t="s">
        <v>22</v>
      </c>
      <c r="D100">
        <f>IFERROR(VLOOKUP(A100,[1]PEDIDO!$A$3:$E$168,3,FALSE),0)</f>
        <v>7</v>
      </c>
      <c r="E100" s="8">
        <f>IFERROR(VLOOKUP(A100,[1]PEDIDO!$A$3:$E$168,4,FALSE),0)</f>
        <v>20000</v>
      </c>
    </row>
    <row r="101" spans="1:6" x14ac:dyDescent="0.25">
      <c r="A101" t="s">
        <v>217</v>
      </c>
      <c r="B101" t="s">
        <v>218</v>
      </c>
      <c r="C101" t="s">
        <v>219</v>
      </c>
      <c r="D101">
        <f>IFERROR(VLOOKUP(A101,[1]PEDIDO!$A$3:$E$168,3,FALSE),0)</f>
        <v>56</v>
      </c>
      <c r="E101" s="8">
        <f>IFERROR(VLOOKUP(A101,[1]PEDIDO!$A$3:$E$168,4,FALSE),0)</f>
        <v>18000</v>
      </c>
      <c r="F101" s="1">
        <v>7707320474452</v>
      </c>
    </row>
    <row r="102" spans="1:6" x14ac:dyDescent="0.25">
      <c r="A102" t="s">
        <v>220</v>
      </c>
      <c r="B102" t="s">
        <v>221</v>
      </c>
      <c r="C102" t="s">
        <v>222</v>
      </c>
      <c r="D102">
        <f>IFERROR(VLOOKUP(A102,[1]PEDIDO!$A$3:$E$168,3,FALSE),0)</f>
        <v>36</v>
      </c>
      <c r="E102" s="8">
        <f>IFERROR(VLOOKUP(A102,[1]PEDIDO!$A$3:$E$168,4,FALSE),0)</f>
        <v>17000</v>
      </c>
      <c r="F102" s="1">
        <v>7707320474612</v>
      </c>
    </row>
    <row r="103" spans="1:6" x14ac:dyDescent="0.25">
      <c r="A103" t="s">
        <v>139</v>
      </c>
      <c r="B103" t="s">
        <v>140</v>
      </c>
      <c r="C103" t="s">
        <v>223</v>
      </c>
      <c r="D103">
        <f>IFERROR(VLOOKUP(A103,[1]PEDIDO!$A$3:$E$168,3,FALSE),0)</f>
        <v>24</v>
      </c>
      <c r="E103" s="8">
        <f>IFERROR(VLOOKUP(A103,[1]PEDIDO!$A$3:$E$168,4,FALSE),0)</f>
        <v>20000</v>
      </c>
    </row>
    <row r="104" spans="1:6" x14ac:dyDescent="0.25">
      <c r="A104" t="s">
        <v>139</v>
      </c>
      <c r="B104" t="s">
        <v>140</v>
      </c>
      <c r="C104" t="s">
        <v>224</v>
      </c>
      <c r="D104">
        <f>IFERROR(VLOOKUP(A104,[1]PEDIDO!$A$3:$E$168,3,FALSE),0)</f>
        <v>24</v>
      </c>
      <c r="E104" s="8">
        <f>IFERROR(VLOOKUP(A104,[1]PEDIDO!$A$3:$E$168,4,FALSE),0)</f>
        <v>20000</v>
      </c>
    </row>
    <row r="105" spans="1:6" x14ac:dyDescent="0.25">
      <c r="A105" t="s">
        <v>139</v>
      </c>
      <c r="B105" t="s">
        <v>140</v>
      </c>
      <c r="C105" t="s">
        <v>225</v>
      </c>
      <c r="D105">
        <f>IFERROR(VLOOKUP(A105,[1]PEDIDO!$A$3:$E$168,3,FALSE),0)</f>
        <v>24</v>
      </c>
      <c r="E105" s="8">
        <f>IFERROR(VLOOKUP(A105,[1]PEDIDO!$A$3:$E$168,4,FALSE),0)</f>
        <v>20000</v>
      </c>
    </row>
    <row r="106" spans="1:6" x14ac:dyDescent="0.25">
      <c r="A106" t="s">
        <v>199</v>
      </c>
      <c r="B106" t="s">
        <v>200</v>
      </c>
      <c r="C106" t="s">
        <v>212</v>
      </c>
      <c r="D106">
        <f>IFERROR(VLOOKUP(A106,[1]PEDIDO!$A$3:$E$168,3,FALSE),0)</f>
        <v>24</v>
      </c>
      <c r="E106" s="8">
        <f>IFERROR(VLOOKUP(A106,[1]PEDIDO!$A$3:$E$168,4,FALSE),0)</f>
        <v>19000</v>
      </c>
    </row>
    <row r="107" spans="1:6" x14ac:dyDescent="0.25">
      <c r="A107" t="s">
        <v>226</v>
      </c>
      <c r="B107" t="s">
        <v>227</v>
      </c>
      <c r="C107" t="s">
        <v>8</v>
      </c>
      <c r="D107">
        <f>IFERROR(VLOOKUP(A107,[1]PEDIDO!$A$3:$E$168,3,FALSE),0)</f>
        <v>12</v>
      </c>
      <c r="E107" s="8">
        <f>IFERROR(VLOOKUP(A107,[1]PEDIDO!$A$3:$E$168,4,FALSE),0)</f>
        <v>20000</v>
      </c>
    </row>
    <row r="108" spans="1:6" x14ac:dyDescent="0.25">
      <c r="A108" t="s">
        <v>153</v>
      </c>
      <c r="B108" t="s">
        <v>154</v>
      </c>
      <c r="C108" t="s">
        <v>228</v>
      </c>
      <c r="D108">
        <f>IFERROR(VLOOKUP(A108,[1]PEDIDO!$A$3:$E$168,3,FALSE),0)</f>
        <v>18</v>
      </c>
      <c r="E108" s="8">
        <f>IFERROR(VLOOKUP(A108,[1]PEDIDO!$A$3:$E$168,4,FALSE),0)</f>
        <v>5000</v>
      </c>
    </row>
    <row r="109" spans="1:6" x14ac:dyDescent="0.25">
      <c r="A109" t="s">
        <v>153</v>
      </c>
      <c r="B109" t="s">
        <v>154</v>
      </c>
      <c r="C109" t="s">
        <v>212</v>
      </c>
      <c r="D109">
        <f>IFERROR(VLOOKUP(A109,[1]PEDIDO!$A$3:$E$168,3,FALSE),0)</f>
        <v>18</v>
      </c>
      <c r="E109" s="8">
        <f>IFERROR(VLOOKUP(A109,[1]PEDIDO!$A$3:$E$168,4,FALSE),0)</f>
        <v>5000</v>
      </c>
    </row>
    <row r="110" spans="1:6" x14ac:dyDescent="0.25">
      <c r="A110" t="s">
        <v>153</v>
      </c>
      <c r="B110" t="s">
        <v>154</v>
      </c>
      <c r="C110" t="s">
        <v>229</v>
      </c>
      <c r="D110">
        <f>IFERROR(VLOOKUP(A110,[1]PEDIDO!$A$3:$E$168,3,FALSE),0)</f>
        <v>18</v>
      </c>
      <c r="E110" s="8">
        <f>IFERROR(VLOOKUP(A110,[1]PEDIDO!$A$3:$E$168,4,FALSE),0)</f>
        <v>5000</v>
      </c>
    </row>
    <row r="111" spans="1:6" x14ac:dyDescent="0.25">
      <c r="A111" t="s">
        <v>56</v>
      </c>
      <c r="B111" t="s">
        <v>57</v>
      </c>
      <c r="C111" t="s">
        <v>230</v>
      </c>
      <c r="D111">
        <f>IFERROR(VLOOKUP(A111,[1]PEDIDO!$A$3:$E$168,3,FALSE),0)</f>
        <v>20</v>
      </c>
      <c r="E111" s="8">
        <f>IFERROR(VLOOKUP(A111,[1]PEDIDO!$A$3:$E$168,4,FALSE),0)</f>
        <v>20000</v>
      </c>
      <c r="F111" s="1">
        <v>7707320479648</v>
      </c>
    </row>
    <row r="112" spans="1:6" x14ac:dyDescent="0.25">
      <c r="A112" t="s">
        <v>56</v>
      </c>
      <c r="B112" t="s">
        <v>57</v>
      </c>
      <c r="C112" t="s">
        <v>231</v>
      </c>
      <c r="D112">
        <f>IFERROR(VLOOKUP(A112,[1]PEDIDO!$A$3:$E$168,3,FALSE),0)</f>
        <v>20</v>
      </c>
      <c r="E112" s="8">
        <f>IFERROR(VLOOKUP(A112,[1]PEDIDO!$A$3:$E$168,4,FALSE),0)</f>
        <v>20000</v>
      </c>
      <c r="F112" s="1">
        <v>7707320479648</v>
      </c>
    </row>
    <row r="113" spans="1:6" x14ac:dyDescent="0.25">
      <c r="A113" t="s">
        <v>56</v>
      </c>
      <c r="B113" t="s">
        <v>57</v>
      </c>
      <c r="C113" t="s">
        <v>232</v>
      </c>
      <c r="D113">
        <f>IFERROR(VLOOKUP(A113,[1]PEDIDO!$A$3:$E$168,3,FALSE),0)</f>
        <v>20</v>
      </c>
      <c r="E113" s="8">
        <f>IFERROR(VLOOKUP(A113,[1]PEDIDO!$A$3:$E$168,4,FALSE),0)</f>
        <v>20000</v>
      </c>
      <c r="F113" s="1">
        <v>7707320479648</v>
      </c>
    </row>
    <row r="114" spans="1:6" x14ac:dyDescent="0.25">
      <c r="A114" t="s">
        <v>56</v>
      </c>
      <c r="B114" t="s">
        <v>57</v>
      </c>
      <c r="C114" t="s">
        <v>233</v>
      </c>
      <c r="D114">
        <f>IFERROR(VLOOKUP(A114,[1]PEDIDO!$A$3:$E$168,3,FALSE),0)</f>
        <v>20</v>
      </c>
      <c r="E114" s="8">
        <f>IFERROR(VLOOKUP(A114,[1]PEDIDO!$A$3:$E$168,4,FALSE),0)</f>
        <v>20000</v>
      </c>
      <c r="F114" s="1">
        <v>7707320479648</v>
      </c>
    </row>
    <row r="115" spans="1:6" x14ac:dyDescent="0.25">
      <c r="A115" t="s">
        <v>56</v>
      </c>
      <c r="B115" t="s">
        <v>57</v>
      </c>
      <c r="C115" t="s">
        <v>234</v>
      </c>
      <c r="D115">
        <f>IFERROR(VLOOKUP(A115,[1]PEDIDO!$A$3:$E$168,3,FALSE),0)</f>
        <v>20</v>
      </c>
      <c r="E115" s="8">
        <f>IFERROR(VLOOKUP(A115,[1]PEDIDO!$A$3:$E$168,4,FALSE),0)</f>
        <v>20000</v>
      </c>
      <c r="F115" s="1">
        <v>7707320479648</v>
      </c>
    </row>
    <row r="116" spans="1:6" x14ac:dyDescent="0.25">
      <c r="A116" t="s">
        <v>56</v>
      </c>
      <c r="B116" t="s">
        <v>57</v>
      </c>
      <c r="C116" t="s">
        <v>235</v>
      </c>
      <c r="D116">
        <f>IFERROR(VLOOKUP(A116,[1]PEDIDO!$A$3:$E$168,3,FALSE),0)</f>
        <v>20</v>
      </c>
      <c r="E116" s="8">
        <f>IFERROR(VLOOKUP(A116,[1]PEDIDO!$A$3:$E$168,4,FALSE),0)</f>
        <v>20000</v>
      </c>
      <c r="F116" s="1">
        <v>7707320479648</v>
      </c>
    </row>
    <row r="117" spans="1:6" x14ac:dyDescent="0.25">
      <c r="A117" t="s">
        <v>56</v>
      </c>
      <c r="B117" t="s">
        <v>57</v>
      </c>
      <c r="C117" t="s">
        <v>236</v>
      </c>
      <c r="D117">
        <f>IFERROR(VLOOKUP(A117,[1]PEDIDO!$A$3:$E$168,3,FALSE),0)</f>
        <v>20</v>
      </c>
      <c r="E117" s="8">
        <f>IFERROR(VLOOKUP(A117,[1]PEDIDO!$A$3:$E$168,4,FALSE),0)</f>
        <v>20000</v>
      </c>
      <c r="F117" s="1">
        <v>7707320479648</v>
      </c>
    </row>
    <row r="118" spans="1:6" x14ac:dyDescent="0.25">
      <c r="A118" t="s">
        <v>56</v>
      </c>
      <c r="B118" t="s">
        <v>57</v>
      </c>
      <c r="C118" t="s">
        <v>237</v>
      </c>
      <c r="D118">
        <f>IFERROR(VLOOKUP(A118,[1]PEDIDO!$A$3:$E$168,3,FALSE),0)</f>
        <v>20</v>
      </c>
      <c r="E118" s="8">
        <f>IFERROR(VLOOKUP(A118,[1]PEDIDO!$A$3:$E$168,4,FALSE),0)</f>
        <v>20000</v>
      </c>
    </row>
    <row r="119" spans="1:6" x14ac:dyDescent="0.25">
      <c r="A119" t="s">
        <v>56</v>
      </c>
      <c r="B119" t="s">
        <v>57</v>
      </c>
      <c r="C119" t="s">
        <v>238</v>
      </c>
      <c r="D119">
        <f>IFERROR(VLOOKUP(A119,[1]PEDIDO!$A$3:$E$168,3,FALSE),0)</f>
        <v>20</v>
      </c>
      <c r="E119" s="8">
        <f>IFERROR(VLOOKUP(A119,[1]PEDIDO!$A$3:$E$168,4,FALSE),0)</f>
        <v>20000</v>
      </c>
    </row>
    <row r="120" spans="1:6" x14ac:dyDescent="0.25">
      <c r="A120" t="s">
        <v>56</v>
      </c>
      <c r="B120" t="s">
        <v>57</v>
      </c>
      <c r="C120" t="s">
        <v>239</v>
      </c>
      <c r="D120">
        <f>IFERROR(VLOOKUP(A120,[1]PEDIDO!$A$3:$E$168,3,FALSE),0)</f>
        <v>20</v>
      </c>
      <c r="E120" s="8">
        <f>IFERROR(VLOOKUP(A120,[1]PEDIDO!$A$3:$E$168,4,FALSE),0)</f>
        <v>20000</v>
      </c>
    </row>
    <row r="121" spans="1:6" x14ac:dyDescent="0.25">
      <c r="A121" t="s">
        <v>56</v>
      </c>
      <c r="B121" t="s">
        <v>57</v>
      </c>
      <c r="C121" t="s">
        <v>240</v>
      </c>
      <c r="D121">
        <f>IFERROR(VLOOKUP(A121,[1]PEDIDO!$A$3:$E$168,3,FALSE),0)</f>
        <v>20</v>
      </c>
      <c r="E121" s="8">
        <f>IFERROR(VLOOKUP(A121,[1]PEDIDO!$A$3:$E$168,4,FALSE),0)</f>
        <v>20000</v>
      </c>
      <c r="F121" s="1">
        <v>7707320479648</v>
      </c>
    </row>
    <row r="122" spans="1:6" x14ac:dyDescent="0.25">
      <c r="A122" t="s">
        <v>56</v>
      </c>
      <c r="B122" t="s">
        <v>57</v>
      </c>
      <c r="C122" t="s">
        <v>241</v>
      </c>
      <c r="D122">
        <f>IFERROR(VLOOKUP(A122,[1]PEDIDO!$A$3:$E$168,3,FALSE),0)</f>
        <v>20</v>
      </c>
      <c r="E122" s="8">
        <f>IFERROR(VLOOKUP(A122,[1]PEDIDO!$A$3:$E$168,4,FALSE),0)</f>
        <v>20000</v>
      </c>
    </row>
    <row r="123" spans="1:6" x14ac:dyDescent="0.25">
      <c r="A123" t="s">
        <v>242</v>
      </c>
      <c r="B123" t="s">
        <v>146</v>
      </c>
      <c r="C123" t="s">
        <v>243</v>
      </c>
      <c r="D123">
        <f>IFERROR(VLOOKUP(A123,[1]PEDIDO!$A$3:$E$168,3,FALSE),0)</f>
        <v>12</v>
      </c>
      <c r="E123" s="8">
        <f>IFERROR(VLOOKUP(A123,[1]PEDIDO!$A$3:$E$168,4,FALSE),0)</f>
        <v>18000</v>
      </c>
      <c r="F123" s="1">
        <v>7707320479266</v>
      </c>
    </row>
    <row r="124" spans="1:6" x14ac:dyDescent="0.25">
      <c r="A124" t="s">
        <v>210</v>
      </c>
      <c r="B124" t="s">
        <v>211</v>
      </c>
      <c r="C124" t="s">
        <v>244</v>
      </c>
      <c r="D124">
        <f>IFERROR(VLOOKUP(A124,[1]PEDIDO!$A$3:$E$168,3,FALSE),0)</f>
        <v>5</v>
      </c>
      <c r="E124" s="8">
        <f>IFERROR(VLOOKUP(A124,[1]PEDIDO!$A$3:$E$168,4,FALSE),0)</f>
        <v>50000</v>
      </c>
    </row>
    <row r="125" spans="1:6" x14ac:dyDescent="0.25">
      <c r="A125" t="s">
        <v>210</v>
      </c>
      <c r="B125" t="s">
        <v>211</v>
      </c>
      <c r="C125" t="s">
        <v>245</v>
      </c>
      <c r="D125">
        <f>IFERROR(VLOOKUP(A125,[1]PEDIDO!$A$3:$E$168,3,FALSE),0)</f>
        <v>5</v>
      </c>
      <c r="E125" s="8">
        <f>IFERROR(VLOOKUP(A125,[1]PEDIDO!$A$3:$E$168,4,FALSE),0)</f>
        <v>50000</v>
      </c>
    </row>
    <row r="126" spans="1:6" x14ac:dyDescent="0.25">
      <c r="A126" t="s">
        <v>210</v>
      </c>
      <c r="B126" t="s">
        <v>211</v>
      </c>
      <c r="C126" t="s">
        <v>246</v>
      </c>
      <c r="D126">
        <f>IFERROR(VLOOKUP(A126,[1]PEDIDO!$A$3:$E$168,3,FALSE),0)</f>
        <v>5</v>
      </c>
      <c r="E126" s="8">
        <f>IFERROR(VLOOKUP(A126,[1]PEDIDO!$A$3:$E$168,4,FALSE),0)</f>
        <v>50000</v>
      </c>
    </row>
    <row r="127" spans="1:6" x14ac:dyDescent="0.25">
      <c r="A127" t="s">
        <v>247</v>
      </c>
      <c r="B127" t="s">
        <v>248</v>
      </c>
      <c r="C127" t="s">
        <v>8</v>
      </c>
      <c r="D127">
        <f>IFERROR(VLOOKUP(A127,[1]PEDIDO!$A$3:$E$168,3,FALSE),0)</f>
        <v>12</v>
      </c>
      <c r="E127" s="8">
        <f>IFERROR(VLOOKUP(A127,[1]PEDIDO!$A$3:$E$168,4,FALSE),0)</f>
        <v>15000</v>
      </c>
      <c r="F127" s="1">
        <v>7707320479006</v>
      </c>
    </row>
    <row r="128" spans="1:6" x14ac:dyDescent="0.25">
      <c r="A128" t="s">
        <v>249</v>
      </c>
      <c r="B128" t="s">
        <v>250</v>
      </c>
      <c r="C128" t="s">
        <v>8</v>
      </c>
      <c r="D128">
        <f>IFERROR(VLOOKUP(A128,[1]PEDIDO!$A$3:$E$168,3,FALSE),0)</f>
        <v>70</v>
      </c>
      <c r="E128" s="8">
        <f>IFERROR(VLOOKUP(A128,[1]PEDIDO!$A$3:$E$168,4,FALSE),0)</f>
        <v>25000</v>
      </c>
      <c r="F128" s="1">
        <v>7707320478313</v>
      </c>
    </row>
    <row r="129" spans="1:6" x14ac:dyDescent="0.25">
      <c r="A129" t="s">
        <v>251</v>
      </c>
      <c r="B129" t="s">
        <v>252</v>
      </c>
      <c r="C129" t="s">
        <v>8</v>
      </c>
      <c r="D129">
        <f>IFERROR(VLOOKUP(A129,[1]PEDIDO!$A$3:$E$168,3,FALSE),0)</f>
        <v>80</v>
      </c>
      <c r="E129" s="8">
        <f>IFERROR(VLOOKUP(A129,[1]PEDIDO!$A$3:$E$168,4,FALSE),0)</f>
        <v>20000</v>
      </c>
      <c r="F129" s="1">
        <v>7707320479105</v>
      </c>
    </row>
    <row r="130" spans="1:6" x14ac:dyDescent="0.25">
      <c r="A130" t="s">
        <v>253</v>
      </c>
      <c r="B130" t="s">
        <v>254</v>
      </c>
      <c r="C130" t="s">
        <v>255</v>
      </c>
      <c r="D130">
        <f>IFERROR(VLOOKUP(A130,[1]PEDIDO!$A$3:$E$168,3,FALSE),0)</f>
        <v>25</v>
      </c>
      <c r="E130" s="8">
        <f>IFERROR(VLOOKUP(A130,[1]PEDIDO!$A$3:$E$168,4,FALSE),0)</f>
        <v>20000</v>
      </c>
      <c r="F130" s="1">
        <v>7707320478320</v>
      </c>
    </row>
    <row r="131" spans="1:6" x14ac:dyDescent="0.25">
      <c r="A131" t="s">
        <v>256</v>
      </c>
      <c r="B131" t="s">
        <v>254</v>
      </c>
      <c r="C131" t="s">
        <v>257</v>
      </c>
      <c r="D131">
        <f>IFERROR(VLOOKUP(A131,[1]PEDIDO!$A$3:$E$168,3,FALSE),0)</f>
        <v>25</v>
      </c>
      <c r="E131" s="8">
        <f>IFERROR(VLOOKUP(A131,[1]PEDIDO!$A$3:$E$168,4,FALSE),0)</f>
        <v>20000</v>
      </c>
      <c r="F131" s="1">
        <v>7707320477606</v>
      </c>
    </row>
    <row r="132" spans="1:6" x14ac:dyDescent="0.25">
      <c r="A132" t="s">
        <v>258</v>
      </c>
      <c r="B132" t="s">
        <v>259</v>
      </c>
      <c r="C132" t="s">
        <v>260</v>
      </c>
      <c r="D132">
        <f>IFERROR(VLOOKUP(A132,[1]PEDIDO!$A$3:$E$168,3,FALSE),0)</f>
        <v>42</v>
      </c>
      <c r="E132" s="8">
        <f>IFERROR(VLOOKUP(A132,[1]PEDIDO!$A$3:$E$168,4,FALSE),0)</f>
        <v>15000</v>
      </c>
      <c r="F132" s="1">
        <v>7707320479655</v>
      </c>
    </row>
    <row r="133" spans="1:6" x14ac:dyDescent="0.25">
      <c r="A133" t="s">
        <v>130</v>
      </c>
      <c r="B133" t="s">
        <v>131</v>
      </c>
      <c r="C133" t="s">
        <v>261</v>
      </c>
      <c r="D133">
        <f>IFERROR(VLOOKUP(A133,[1]PEDIDO!$A$3:$E$168,3,FALSE),0)</f>
        <v>48</v>
      </c>
      <c r="E133" s="8">
        <f>IFERROR(VLOOKUP(A133,[1]PEDIDO!$A$3:$E$168,4,FALSE),0)</f>
        <v>25000</v>
      </c>
    </row>
    <row r="134" spans="1:6" x14ac:dyDescent="0.25">
      <c r="A134" t="s">
        <v>130</v>
      </c>
      <c r="B134" t="s">
        <v>131</v>
      </c>
      <c r="C134" t="s">
        <v>262</v>
      </c>
      <c r="D134">
        <f>IFERROR(VLOOKUP(A134,[1]PEDIDO!$A$3:$E$168,3,FALSE),0)</f>
        <v>48</v>
      </c>
      <c r="E134" s="8">
        <f>IFERROR(VLOOKUP(A134,[1]PEDIDO!$A$3:$E$168,4,FALSE),0)</f>
        <v>25000</v>
      </c>
    </row>
    <row r="135" spans="1:6" x14ac:dyDescent="0.25">
      <c r="A135" t="s">
        <v>130</v>
      </c>
      <c r="B135" t="s">
        <v>131</v>
      </c>
      <c r="C135" t="s">
        <v>263</v>
      </c>
      <c r="D135">
        <f>IFERROR(VLOOKUP(A135,[1]PEDIDO!$A$3:$E$168,3,FALSE),0)</f>
        <v>48</v>
      </c>
      <c r="E135" s="8">
        <f>IFERROR(VLOOKUP(A135,[1]PEDIDO!$A$3:$E$168,4,FALSE),0)</f>
        <v>25000</v>
      </c>
    </row>
    <row r="136" spans="1:6" x14ac:dyDescent="0.25">
      <c r="A136" t="s">
        <v>130</v>
      </c>
      <c r="B136" t="s">
        <v>131</v>
      </c>
      <c r="C136" t="s">
        <v>264</v>
      </c>
      <c r="D136">
        <f>IFERROR(VLOOKUP(A136,[1]PEDIDO!$A$3:$E$168,3,FALSE),0)</f>
        <v>48</v>
      </c>
      <c r="E136" s="8">
        <f>IFERROR(VLOOKUP(A136,[1]PEDIDO!$A$3:$E$168,4,FALSE),0)</f>
        <v>25000</v>
      </c>
      <c r="F136" s="1">
        <v>7707320474063</v>
      </c>
    </row>
    <row r="137" spans="1:6" x14ac:dyDescent="0.25">
      <c r="A137" t="s">
        <v>265</v>
      </c>
      <c r="B137" t="s">
        <v>266</v>
      </c>
      <c r="C137" t="s">
        <v>267</v>
      </c>
      <c r="D137">
        <f>IFERROR(VLOOKUP(A137,[1]PEDIDO!$A$3:$E$168,3,FALSE),0)</f>
        <v>43</v>
      </c>
      <c r="E137" s="8">
        <f>IFERROR(VLOOKUP(A137,[1]PEDIDO!$A$3:$E$168,4,FALSE),0)</f>
        <v>20000</v>
      </c>
      <c r="F137" s="1">
        <v>7707320478986</v>
      </c>
    </row>
    <row r="138" spans="1:6" x14ac:dyDescent="0.25">
      <c r="A138" t="s">
        <v>268</v>
      </c>
      <c r="B138" t="s">
        <v>266</v>
      </c>
      <c r="C138" t="s">
        <v>269</v>
      </c>
      <c r="D138">
        <f>IFERROR(VLOOKUP(A138,[1]PEDIDO!$A$3:$E$168,3,FALSE),0)</f>
        <v>48</v>
      </c>
      <c r="E138" s="8">
        <f>IFERROR(VLOOKUP(A138,[1]PEDIDO!$A$3:$E$168,4,FALSE),0)</f>
        <v>20000</v>
      </c>
      <c r="F138" s="1">
        <v>7707320477453</v>
      </c>
    </row>
    <row r="139" spans="1:6" x14ac:dyDescent="0.25">
      <c r="A139" t="s">
        <v>270</v>
      </c>
      <c r="B139" t="s">
        <v>266</v>
      </c>
      <c r="C139" t="s">
        <v>271</v>
      </c>
      <c r="D139">
        <f>IFERROR(VLOOKUP(A139,[1]PEDIDO!$A$3:$E$168,3,FALSE),0)</f>
        <v>48</v>
      </c>
      <c r="E139" s="8">
        <f>IFERROR(VLOOKUP(A139,[1]PEDIDO!$A$3:$E$168,4,FALSE),0)</f>
        <v>20000</v>
      </c>
      <c r="F139" s="1">
        <v>7707320479297</v>
      </c>
    </row>
    <row r="140" spans="1:6" x14ac:dyDescent="0.25">
      <c r="A140" t="s">
        <v>272</v>
      </c>
      <c r="B140" t="s">
        <v>266</v>
      </c>
      <c r="C140" t="s">
        <v>273</v>
      </c>
      <c r="D140">
        <f>IFERROR(VLOOKUP(A140,[1]PEDIDO!$A$3:$E$168,3,FALSE),0)</f>
        <v>48</v>
      </c>
      <c r="E140" s="8">
        <f>IFERROR(VLOOKUP(A140,[1]PEDIDO!$A$3:$E$168,4,FALSE),0)</f>
        <v>20000</v>
      </c>
      <c r="F140" s="1">
        <v>7707320479778</v>
      </c>
    </row>
    <row r="141" spans="1:6" x14ac:dyDescent="0.25">
      <c r="A141" t="s">
        <v>274</v>
      </c>
      <c r="B141" t="s">
        <v>266</v>
      </c>
      <c r="C141" t="s">
        <v>275</v>
      </c>
      <c r="D141">
        <f>IFERROR(VLOOKUP(A141,[1]PEDIDO!$A$3:$E$168,3,FALSE),0)</f>
        <v>48</v>
      </c>
      <c r="E141" s="8">
        <f>IFERROR(VLOOKUP(A141,[1]PEDIDO!$A$3:$E$168,4,FALSE),0)</f>
        <v>20000</v>
      </c>
      <c r="F141" s="1">
        <v>7707320476494</v>
      </c>
    </row>
    <row r="142" spans="1:6" x14ac:dyDescent="0.25">
      <c r="A142" t="s">
        <v>276</v>
      </c>
      <c r="B142" t="s">
        <v>277</v>
      </c>
      <c r="C142" t="s">
        <v>108</v>
      </c>
      <c r="D142">
        <f>IFERROR(VLOOKUP(A142,[1]PEDIDO!$A$3:$E$168,3,FALSE),0)</f>
        <v>6</v>
      </c>
      <c r="E142" s="8">
        <f>IFERROR(VLOOKUP(A142,[1]PEDIDO!$A$3:$E$168,4,FALSE),0)</f>
        <v>10000</v>
      </c>
      <c r="F142" s="1">
        <v>7707320477576</v>
      </c>
    </row>
    <row r="143" spans="1:6" x14ac:dyDescent="0.25">
      <c r="A143" t="s">
        <v>278</v>
      </c>
      <c r="B143" t="s">
        <v>277</v>
      </c>
      <c r="C143" t="s">
        <v>279</v>
      </c>
      <c r="D143">
        <f>IFERROR(VLOOKUP(A143,[1]PEDIDO!$A$3:$E$168,3,FALSE),0)</f>
        <v>6</v>
      </c>
      <c r="E143" s="8">
        <f>IFERROR(VLOOKUP(A143,[1]PEDIDO!$A$3:$E$168,4,FALSE),0)</f>
        <v>10000</v>
      </c>
      <c r="F143" s="1">
        <v>7707320478726</v>
      </c>
    </row>
    <row r="144" spans="1:6" x14ac:dyDescent="0.25">
      <c r="A144" t="s">
        <v>280</v>
      </c>
      <c r="B144" t="s">
        <v>281</v>
      </c>
      <c r="C144" t="s">
        <v>260</v>
      </c>
      <c r="D144">
        <f>IFERROR(VLOOKUP(A144,[1]PEDIDO!$A$3:$E$168,3,FALSE),0)</f>
        <v>120</v>
      </c>
      <c r="E144" s="8">
        <f>IFERROR(VLOOKUP(A144,[1]PEDIDO!$A$3:$E$168,4,FALSE),0)</f>
        <v>8000</v>
      </c>
      <c r="F144" s="1">
        <v>7707320479990</v>
      </c>
    </row>
    <row r="145" spans="1:6" x14ac:dyDescent="0.25">
      <c r="A145" t="s">
        <v>282</v>
      </c>
      <c r="B145" t="s">
        <v>283</v>
      </c>
      <c r="C145" t="s">
        <v>283</v>
      </c>
      <c r="D145">
        <f>IFERROR(VLOOKUP(A145,[1]PEDIDO!$A$3:$E$168,3,FALSE),0)</f>
        <v>36</v>
      </c>
      <c r="E145" s="8">
        <f>IFERROR(VLOOKUP(A145,[1]PEDIDO!$A$3:$E$168,4,FALSE),0)</f>
        <v>12000</v>
      </c>
      <c r="F145" s="1">
        <v>7707320478771</v>
      </c>
    </row>
    <row r="146" spans="1:6" x14ac:dyDescent="0.25">
      <c r="A146" t="s">
        <v>284</v>
      </c>
      <c r="B146" t="s">
        <v>285</v>
      </c>
      <c r="C146" t="s">
        <v>286</v>
      </c>
      <c r="D146">
        <f>IFERROR(VLOOKUP(A146,[1]PEDIDO!$A$3:$E$168,3,FALSE),0)</f>
        <v>3</v>
      </c>
      <c r="E146" s="8">
        <f>IFERROR(VLOOKUP(A146,[1]PEDIDO!$A$3:$E$168,4,FALSE),0)</f>
        <v>25000</v>
      </c>
      <c r="F146" s="1">
        <v>7707320477613</v>
      </c>
    </row>
    <row r="147" spans="1:6" x14ac:dyDescent="0.25">
      <c r="A147" t="s">
        <v>287</v>
      </c>
      <c r="B147" t="s">
        <v>285</v>
      </c>
      <c r="C147" t="s">
        <v>121</v>
      </c>
      <c r="D147">
        <f>IFERROR(VLOOKUP(A147,[1]PEDIDO!$A$3:$E$168,3,FALSE),0)</f>
        <v>12</v>
      </c>
      <c r="E147" s="8">
        <f>IFERROR(VLOOKUP(A147,[1]PEDIDO!$A$3:$E$168,4,FALSE),0)</f>
        <v>15000</v>
      </c>
      <c r="F147" s="1">
        <v>7707320470874</v>
      </c>
    </row>
    <row r="148" spans="1:6" x14ac:dyDescent="0.25">
      <c r="A148" t="s">
        <v>288</v>
      </c>
      <c r="B148" t="s">
        <v>289</v>
      </c>
      <c r="C148" t="s">
        <v>260</v>
      </c>
      <c r="D148">
        <f>IFERROR(VLOOKUP(A148,[1]PEDIDO!$A$3:$E$168,3,FALSE),0)</f>
        <v>144</v>
      </c>
      <c r="E148" s="8">
        <f>IFERROR(VLOOKUP(A148,[1]PEDIDO!$A$3:$E$168,4,FALSE),0)</f>
        <v>2000</v>
      </c>
      <c r="F148" s="1">
        <v>7707320479617</v>
      </c>
    </row>
    <row r="149" spans="1:6" x14ac:dyDescent="0.25">
      <c r="A149" t="s">
        <v>290</v>
      </c>
      <c r="B149" t="s">
        <v>291</v>
      </c>
      <c r="C149" t="s">
        <v>260</v>
      </c>
      <c r="D149">
        <f>IFERROR(VLOOKUP(A149,[1]PEDIDO!$A$3:$E$168,3,FALSE),0)</f>
        <v>120</v>
      </c>
      <c r="E149" s="8">
        <f>IFERROR(VLOOKUP(A149,[1]PEDIDO!$A$3:$E$168,4,FALSE),0)</f>
        <v>15000</v>
      </c>
      <c r="F149" s="1">
        <v>7707320479365</v>
      </c>
    </row>
    <row r="150" spans="1:6" x14ac:dyDescent="0.25">
      <c r="A150" t="s">
        <v>292</v>
      </c>
      <c r="B150" t="s">
        <v>293</v>
      </c>
      <c r="C150" t="s">
        <v>8</v>
      </c>
      <c r="D150">
        <f>IFERROR(VLOOKUP(A150,[1]PEDIDO!$A$3:$E$168,3,FALSE),0)</f>
        <v>50</v>
      </c>
      <c r="E150" s="8">
        <f>IFERROR(VLOOKUP(A150,[1]PEDIDO!$A$3:$E$168,4,FALSE),0)</f>
        <v>15000</v>
      </c>
      <c r="F150" s="1">
        <v>7707320479068</v>
      </c>
    </row>
    <row r="151" spans="1:6" x14ac:dyDescent="0.25">
      <c r="A151" t="s">
        <v>294</v>
      </c>
      <c r="B151" t="s">
        <v>295</v>
      </c>
      <c r="C151" t="s">
        <v>121</v>
      </c>
      <c r="D151">
        <f>IFERROR(VLOOKUP(A151,[1]PEDIDO!$A$3:$E$168,3,FALSE),0)</f>
        <v>3</v>
      </c>
      <c r="E151" s="8">
        <f>IFERROR(VLOOKUP(A151,[1]PEDIDO!$A$3:$E$168,4,FALSE),0)</f>
        <v>15000</v>
      </c>
      <c r="F151" s="1">
        <v>7707320479488</v>
      </c>
    </row>
    <row r="152" spans="1:6" x14ac:dyDescent="0.25">
      <c r="A152" t="s">
        <v>296</v>
      </c>
      <c r="B152" t="s">
        <v>297</v>
      </c>
      <c r="C152" t="s">
        <v>298</v>
      </c>
      <c r="D152">
        <f>IFERROR(VLOOKUP(A152,[1]PEDIDO!$A$3:$E$168,3,FALSE),0)</f>
        <v>24</v>
      </c>
      <c r="E152" s="8">
        <f>IFERROR(VLOOKUP(A152,[1]PEDIDO!$A$3:$E$168,4,FALSE),0)</f>
        <v>15000</v>
      </c>
      <c r="F152" s="1">
        <v>770732047672</v>
      </c>
    </row>
    <row r="153" spans="1:6" x14ac:dyDescent="0.25">
      <c r="A153" t="s">
        <v>299</v>
      </c>
      <c r="B153" t="s">
        <v>300</v>
      </c>
      <c r="C153" t="s">
        <v>8</v>
      </c>
      <c r="D153">
        <f>IFERROR(VLOOKUP(A153,[1]PEDIDO!$A$3:$E$168,3,FALSE),0)</f>
        <v>80</v>
      </c>
      <c r="E153" s="8">
        <f>IFERROR(VLOOKUP(A153,[1]PEDIDO!$A$3:$E$168,4,FALSE),0)</f>
        <v>15000</v>
      </c>
      <c r="F153" s="1">
        <v>7707320479136</v>
      </c>
    </row>
    <row r="154" spans="1:6" x14ac:dyDescent="0.25">
      <c r="A154" t="s">
        <v>301</v>
      </c>
      <c r="B154" t="s">
        <v>302</v>
      </c>
      <c r="C154" t="s">
        <v>260</v>
      </c>
      <c r="D154">
        <f>IFERROR(VLOOKUP(A154,[1]PEDIDO!$A$3:$E$168,3,FALSE),0)</f>
        <v>36</v>
      </c>
      <c r="E154" s="8">
        <f>IFERROR(VLOOKUP(A154,[1]PEDIDO!$A$3:$E$168,4,FALSE),0)</f>
        <v>25000</v>
      </c>
      <c r="F154" s="1">
        <v>7707320479907</v>
      </c>
    </row>
    <row r="155" spans="1:6" x14ac:dyDescent="0.25">
      <c r="A155" t="s">
        <v>303</v>
      </c>
      <c r="B155" t="s">
        <v>304</v>
      </c>
      <c r="C155" t="s">
        <v>305</v>
      </c>
      <c r="D155">
        <f>IFERROR(VLOOKUP(A155,[1]PEDIDO!$A$3:$E$168,3,FALSE),0)</f>
        <v>80</v>
      </c>
      <c r="E155" s="8">
        <f>IFERROR(VLOOKUP(A155,[1]PEDIDO!$A$3:$E$168,4,FALSE),0)</f>
        <v>15000</v>
      </c>
      <c r="F155" s="1">
        <v>7707320477347</v>
      </c>
    </row>
    <row r="156" spans="1:6" x14ac:dyDescent="0.25">
      <c r="A156" t="s">
        <v>306</v>
      </c>
      <c r="B156" t="s">
        <v>307</v>
      </c>
      <c r="C156" t="s">
        <v>117</v>
      </c>
      <c r="D156">
        <f>IFERROR(VLOOKUP(A156,[1]PEDIDO!$A$3:$E$168,3,FALSE),0)</f>
        <v>56</v>
      </c>
      <c r="E156" s="8">
        <f>IFERROR(VLOOKUP(A156,[1]PEDIDO!$A$3:$E$168,4,FALSE),0)</f>
        <v>18000</v>
      </c>
      <c r="F156" s="1">
        <v>7707320478597</v>
      </c>
    </row>
    <row r="157" spans="1:6" x14ac:dyDescent="0.25">
      <c r="A157" t="s">
        <v>308</v>
      </c>
      <c r="B157" t="s">
        <v>309</v>
      </c>
      <c r="C157" t="s">
        <v>117</v>
      </c>
      <c r="D157">
        <f>IFERROR(VLOOKUP(A157,[1]PEDIDO!$A$3:$E$168,3,FALSE),0)</f>
        <v>56</v>
      </c>
      <c r="E157" s="8">
        <f>IFERROR(VLOOKUP(A157,[1]PEDIDO!$A$3:$E$168,4,FALSE),0)</f>
        <v>18000</v>
      </c>
      <c r="F157" s="1">
        <v>7707320479389</v>
      </c>
    </row>
    <row r="158" spans="1:6" x14ac:dyDescent="0.25">
      <c r="A158" t="s">
        <v>310</v>
      </c>
      <c r="B158" t="s">
        <v>311</v>
      </c>
      <c r="C158" t="s">
        <v>117</v>
      </c>
      <c r="D158">
        <f>IFERROR(VLOOKUP(A158,[1]PEDIDO!$A$3:$E$168,3,FALSE),0)</f>
        <v>56</v>
      </c>
      <c r="E158" s="8">
        <f>IFERROR(VLOOKUP(A158,[1]PEDIDO!$A$3:$E$168,4,FALSE),0)</f>
        <v>18000</v>
      </c>
      <c r="F158" s="1">
        <v>7707320479952</v>
      </c>
    </row>
    <row r="159" spans="1:6" x14ac:dyDescent="0.25">
      <c r="A159" t="s">
        <v>312</v>
      </c>
      <c r="B159" t="s">
        <v>313</v>
      </c>
      <c r="C159" t="s">
        <v>8</v>
      </c>
      <c r="D159">
        <f>IFERROR(VLOOKUP(A159,[1]PEDIDO!$A$3:$E$168,3,FALSE),0)</f>
        <v>20</v>
      </c>
      <c r="E159" s="8">
        <f>IFERROR(VLOOKUP(A159,[1]PEDIDO!$A$3:$E$168,4,FALSE),0)</f>
        <v>20000</v>
      </c>
      <c r="F159" s="1">
        <v>7707320478979</v>
      </c>
    </row>
    <row r="160" spans="1:6" x14ac:dyDescent="0.25">
      <c r="A160" t="s">
        <v>314</v>
      </c>
      <c r="B160" t="s">
        <v>123</v>
      </c>
      <c r="C160" t="s">
        <v>315</v>
      </c>
      <c r="D160">
        <f>IFERROR(VLOOKUP(A160,[1]PEDIDO!$A$3:$E$168,3,FALSE),0)</f>
        <v>6</v>
      </c>
      <c r="E160" s="8">
        <f>IFERROR(VLOOKUP(A160,[1]PEDIDO!$A$3:$E$168,4,FALSE),0)</f>
        <v>30000</v>
      </c>
      <c r="F160" s="1">
        <v>7707320475565</v>
      </c>
    </row>
    <row r="161" spans="1:6" x14ac:dyDescent="0.25">
      <c r="A161" t="s">
        <v>316</v>
      </c>
      <c r="B161" t="s">
        <v>317</v>
      </c>
      <c r="C161" t="s">
        <v>317</v>
      </c>
      <c r="D161">
        <f>IFERROR(VLOOKUP(A161,[1]PEDIDO!$A$3:$E$168,3,FALSE),0)</f>
        <v>24</v>
      </c>
      <c r="E161" s="8">
        <f>IFERROR(VLOOKUP(A161,[1]PEDIDO!$A$3:$E$168,4,FALSE),0)</f>
        <v>18000</v>
      </c>
      <c r="F161" s="1">
        <v>7707320478559</v>
      </c>
    </row>
    <row r="162" spans="1:6" x14ac:dyDescent="0.25">
      <c r="A162" t="s">
        <v>318</v>
      </c>
      <c r="B162" t="s">
        <v>319</v>
      </c>
      <c r="C162" t="s">
        <v>8</v>
      </c>
      <c r="D162">
        <f>IFERROR(VLOOKUP(A162,[1]PEDIDO!$A$3:$E$168,3,FALSE),0)</f>
        <v>144</v>
      </c>
      <c r="E162" s="8">
        <f>IFERROR(VLOOKUP(A162,[1]PEDIDO!$A$3:$E$168,4,FALSE),0)</f>
        <v>5000</v>
      </c>
      <c r="F162" s="1">
        <v>7707320479501</v>
      </c>
    </row>
    <row r="163" spans="1:6" x14ac:dyDescent="0.25">
      <c r="A163" t="s">
        <v>320</v>
      </c>
      <c r="B163" t="s">
        <v>321</v>
      </c>
      <c r="C163" t="s">
        <v>322</v>
      </c>
      <c r="D163">
        <f>IFERROR(VLOOKUP(A163,[1]PEDIDO!$A$3:$E$168,3,FALSE),0)</f>
        <v>200</v>
      </c>
      <c r="E163" s="8">
        <f>IFERROR(VLOOKUP(A163,[1]PEDIDO!$A$3:$E$168,4,FALSE),0)</f>
        <v>6000</v>
      </c>
      <c r="F163" s="1">
        <v>7707320477750</v>
      </c>
    </row>
    <row r="164" spans="1:6" x14ac:dyDescent="0.25">
      <c r="A164" t="s">
        <v>323</v>
      </c>
      <c r="B164" t="s">
        <v>324</v>
      </c>
      <c r="C164" t="s">
        <v>325</v>
      </c>
      <c r="D164">
        <f>IFERROR(VLOOKUP(A164,[1]PEDIDO!$A$3:$E$168,3,FALSE),0)</f>
        <v>200</v>
      </c>
      <c r="E164" s="8">
        <f>IFERROR(VLOOKUP(A164,[1]PEDIDO!$A$3:$E$168,4,FALSE),0)</f>
        <v>15000</v>
      </c>
      <c r="F164" s="1">
        <v>7707320478634</v>
      </c>
    </row>
    <row r="165" spans="1:6" x14ac:dyDescent="0.25">
      <c r="A165" t="s">
        <v>326</v>
      </c>
      <c r="B165" t="s">
        <v>327</v>
      </c>
      <c r="C165" t="s">
        <v>260</v>
      </c>
      <c r="D165">
        <f>IFERROR(VLOOKUP(A165,[1]PEDIDO!$A$3:$E$168,3,FALSE),0)</f>
        <v>44</v>
      </c>
      <c r="E165" s="8">
        <f>IFERROR(VLOOKUP(A165,[1]PEDIDO!$A$3:$E$168,4,FALSE),0)</f>
        <v>15000</v>
      </c>
      <c r="F165" s="1">
        <v>7707320479082</v>
      </c>
    </row>
    <row r="166" spans="1:6" x14ac:dyDescent="0.25">
      <c r="A166" t="s">
        <v>328</v>
      </c>
      <c r="B166" t="s">
        <v>329</v>
      </c>
      <c r="C166" t="s">
        <v>330</v>
      </c>
      <c r="D166">
        <f>IFERROR(VLOOKUP(A166,[1]PEDIDO!$A$3:$E$168,3,FALSE),0)</f>
        <v>35</v>
      </c>
      <c r="E166" s="8">
        <f>IFERROR(VLOOKUP(A166,[1]PEDIDO!$A$3:$E$168,4,FALSE),0)</f>
        <v>18000</v>
      </c>
      <c r="F166" s="1">
        <v>7707320478641</v>
      </c>
    </row>
    <row r="167" spans="1:6" x14ac:dyDescent="0.25">
      <c r="A167" t="s">
        <v>331</v>
      </c>
      <c r="B167" t="s">
        <v>332</v>
      </c>
      <c r="C167" t="s">
        <v>330</v>
      </c>
      <c r="D167">
        <f>IFERROR(VLOOKUP(A167,[1]PEDIDO!$A$3:$E$168,3,FALSE),0)</f>
        <v>35</v>
      </c>
      <c r="E167" s="8">
        <f>IFERROR(VLOOKUP(A167,[1]PEDIDO!$A$3:$E$168,4,FALSE),0)</f>
        <v>18000</v>
      </c>
      <c r="F167" s="1">
        <v>7707320477590</v>
      </c>
    </row>
    <row r="168" spans="1:6" x14ac:dyDescent="0.25">
      <c r="A168" t="s">
        <v>333</v>
      </c>
      <c r="B168" t="s">
        <v>334</v>
      </c>
      <c r="C168" t="s">
        <v>330</v>
      </c>
      <c r="D168">
        <f>IFERROR(VLOOKUP(A168,[1]PEDIDO!$A$3:$E$168,3,FALSE),0)</f>
        <v>35</v>
      </c>
      <c r="E168" s="8">
        <f>IFERROR(VLOOKUP(A168,[1]PEDIDO!$A$3:$E$168,4,FALSE),0)</f>
        <v>18000</v>
      </c>
      <c r="F168" s="1">
        <v>7707320479976</v>
      </c>
    </row>
    <row r="169" spans="1:6" ht="15.75" x14ac:dyDescent="0.25">
      <c r="A169" s="2" t="s">
        <v>335</v>
      </c>
      <c r="B169" s="3" t="s">
        <v>336</v>
      </c>
      <c r="D169">
        <f>IFERROR(VLOOKUP(A169,[1]PEDIDO!$A$3:$E$168,3,FALSE),0)</f>
        <v>60</v>
      </c>
      <c r="E169" s="9">
        <f>IFERROR(VLOOKUP(A169,[1]PEDIDO!$A$3:$E$168,4,FALSE),0)</f>
        <v>5000</v>
      </c>
      <c r="F169" s="6">
        <v>7707320478702</v>
      </c>
    </row>
    <row r="170" spans="1:6" ht="15.75" x14ac:dyDescent="0.25">
      <c r="A170" s="2" t="s">
        <v>337</v>
      </c>
      <c r="B170" s="3" t="s">
        <v>338</v>
      </c>
      <c r="D170">
        <f>IFERROR(VLOOKUP(A170,[1]PEDIDO!$A$3:$E$168,3,FALSE),0)</f>
        <v>60</v>
      </c>
      <c r="E170" s="9">
        <f>IFERROR(VLOOKUP(A170,[1]PEDIDO!$A$3:$E$168,4,FALSE),0)</f>
        <v>5000</v>
      </c>
      <c r="F170" s="7" t="s">
        <v>396</v>
      </c>
    </row>
    <row r="171" spans="1:6" ht="15.75" x14ac:dyDescent="0.25">
      <c r="A171" s="2" t="s">
        <v>339</v>
      </c>
      <c r="B171" s="3" t="s">
        <v>340</v>
      </c>
      <c r="D171">
        <f>IFERROR(VLOOKUP(A171,[1]PEDIDO!$A$3:$E$168,3,FALSE),0)</f>
        <v>60</v>
      </c>
      <c r="E171" s="9">
        <f>IFERROR(VLOOKUP(A171,[1]PEDIDO!$A$3:$E$168,4,FALSE),0)</f>
        <v>5000</v>
      </c>
      <c r="F171" s="7" t="s">
        <v>397</v>
      </c>
    </row>
    <row r="172" spans="1:6" ht="15.75" x14ac:dyDescent="0.25">
      <c r="A172" s="2" t="s">
        <v>341</v>
      </c>
      <c r="B172" s="3" t="s">
        <v>342</v>
      </c>
      <c r="D172">
        <f>IFERROR(VLOOKUP(A172,[1]PEDIDO!$A$3:$E$168,3,FALSE),0)</f>
        <v>60</v>
      </c>
      <c r="E172" s="9">
        <f>IFERROR(VLOOKUP(A172,[1]PEDIDO!$A$3:$E$168,4,FALSE),0)</f>
        <v>5000</v>
      </c>
      <c r="F172" s="6">
        <v>7707320470928</v>
      </c>
    </row>
    <row r="173" spans="1:6" ht="15.75" x14ac:dyDescent="0.25">
      <c r="A173" s="2" t="s">
        <v>343</v>
      </c>
      <c r="B173" s="4" t="s">
        <v>344</v>
      </c>
      <c r="C173" t="s">
        <v>377</v>
      </c>
      <c r="D173">
        <f>IFERROR(VLOOKUP(A173,[1]PEDIDO!$A$3:$E$168,3,FALSE),0)</f>
        <v>12</v>
      </c>
      <c r="E173" s="9">
        <f>IFERROR(VLOOKUP(A173,[1]PEDIDO!$A$3:$E$168,4,FALSE),0)</f>
        <v>45000</v>
      </c>
    </row>
    <row r="174" spans="1:6" ht="15.75" x14ac:dyDescent="0.25">
      <c r="A174" s="2" t="s">
        <v>345</v>
      </c>
      <c r="B174" s="4" t="s">
        <v>346</v>
      </c>
      <c r="C174" t="s">
        <v>377</v>
      </c>
      <c r="D174">
        <f>IFERROR(VLOOKUP(A174,[1]PEDIDO!$A$3:$E$168,3,FALSE),0)</f>
        <v>12</v>
      </c>
      <c r="E174" s="9">
        <f>IFERROR(VLOOKUP(A174,[1]PEDIDO!$A$3:$E$168,4,FALSE),0)</f>
        <v>30000</v>
      </c>
    </row>
    <row r="175" spans="1:6" ht="15.75" x14ac:dyDescent="0.25">
      <c r="A175" s="2" t="s">
        <v>347</v>
      </c>
      <c r="B175" s="4" t="s">
        <v>348</v>
      </c>
      <c r="D175">
        <f>IFERROR(VLOOKUP(A175,[1]PEDIDO!$A$3:$E$168,3,FALSE),0)</f>
        <v>60</v>
      </c>
      <c r="E175" s="9">
        <f>IFERROR(VLOOKUP(A175,[1]PEDIDO!$A$3:$E$168,4,FALSE),0)</f>
        <v>5000</v>
      </c>
      <c r="F175" s="6">
        <v>7707320479884</v>
      </c>
    </row>
    <row r="176" spans="1:6" ht="15.75" x14ac:dyDescent="0.25">
      <c r="A176" s="2" t="s">
        <v>216</v>
      </c>
      <c r="B176" s="3" t="s">
        <v>349</v>
      </c>
      <c r="C176" t="s">
        <v>22</v>
      </c>
      <c r="D176" s="5">
        <v>7</v>
      </c>
      <c r="E176" s="10">
        <v>20000</v>
      </c>
    </row>
    <row r="177" spans="1:6" ht="15.75" x14ac:dyDescent="0.25">
      <c r="A177" s="2" t="s">
        <v>213</v>
      </c>
      <c r="B177" s="3" t="s">
        <v>350</v>
      </c>
      <c r="C177" t="s">
        <v>215</v>
      </c>
      <c r="D177" s="5">
        <v>10</v>
      </c>
      <c r="E177" s="10">
        <v>15000</v>
      </c>
    </row>
    <row r="178" spans="1:6" ht="15.75" x14ac:dyDescent="0.25">
      <c r="A178" s="2" t="s">
        <v>299</v>
      </c>
      <c r="B178" s="3" t="s">
        <v>351</v>
      </c>
      <c r="C178" t="s">
        <v>8</v>
      </c>
      <c r="D178" s="5">
        <v>80</v>
      </c>
      <c r="E178" s="10">
        <v>15000</v>
      </c>
      <c r="F178" s="1">
        <v>7707320479136</v>
      </c>
    </row>
    <row r="179" spans="1:6" ht="15.75" x14ac:dyDescent="0.25">
      <c r="A179" s="2" t="s">
        <v>303</v>
      </c>
      <c r="B179" s="3" t="s">
        <v>352</v>
      </c>
      <c r="C179" t="s">
        <v>305</v>
      </c>
      <c r="D179" s="5">
        <v>80</v>
      </c>
      <c r="E179" s="10">
        <v>15000</v>
      </c>
      <c r="F179" s="1">
        <v>7707320477347</v>
      </c>
    </row>
    <row r="180" spans="1:6" ht="15.75" x14ac:dyDescent="0.25">
      <c r="A180" s="2" t="s">
        <v>145</v>
      </c>
      <c r="B180" s="3" t="s">
        <v>353</v>
      </c>
      <c r="C180" t="s">
        <v>150</v>
      </c>
      <c r="D180" s="5">
        <v>12</v>
      </c>
      <c r="E180" s="10">
        <v>15000</v>
      </c>
      <c r="F180" s="1">
        <v>7707320471697</v>
      </c>
    </row>
    <row r="181" spans="1:6" ht="15.75" x14ac:dyDescent="0.25">
      <c r="A181" s="2" t="s">
        <v>242</v>
      </c>
      <c r="B181" s="3" t="s">
        <v>354</v>
      </c>
      <c r="C181" t="s">
        <v>152</v>
      </c>
      <c r="D181" s="5">
        <v>12</v>
      </c>
      <c r="E181" s="10">
        <v>18000</v>
      </c>
      <c r="F181" s="1">
        <v>7707320479266</v>
      </c>
    </row>
    <row r="182" spans="1:6" ht="15.75" x14ac:dyDescent="0.25">
      <c r="A182" s="2" t="s">
        <v>148</v>
      </c>
      <c r="B182" s="3" t="s">
        <v>355</v>
      </c>
      <c r="C182" t="s">
        <v>150</v>
      </c>
      <c r="D182" s="5">
        <v>12</v>
      </c>
      <c r="E182" s="10">
        <v>13000</v>
      </c>
      <c r="F182" s="1">
        <v>7707320470164</v>
      </c>
    </row>
    <row r="183" spans="1:6" ht="15.75" x14ac:dyDescent="0.25">
      <c r="A183" s="2" t="s">
        <v>151</v>
      </c>
      <c r="B183" s="3" t="s">
        <v>356</v>
      </c>
      <c r="C183" t="s">
        <v>152</v>
      </c>
      <c r="D183" s="5">
        <v>12</v>
      </c>
      <c r="E183" s="10">
        <v>15000</v>
      </c>
      <c r="F183" s="1">
        <v>7707320470157</v>
      </c>
    </row>
    <row r="184" spans="1:6" ht="15.75" x14ac:dyDescent="0.25">
      <c r="A184" s="2" t="s">
        <v>357</v>
      </c>
      <c r="B184" s="3" t="s">
        <v>358</v>
      </c>
      <c r="C184" t="s">
        <v>359</v>
      </c>
      <c r="D184" s="5">
        <v>1136</v>
      </c>
      <c r="E184" s="10">
        <v>1000</v>
      </c>
      <c r="F184" s="1">
        <v>7707320475381</v>
      </c>
    </row>
    <row r="185" spans="1:6" ht="15.75" x14ac:dyDescent="0.25">
      <c r="A185" s="2" t="s">
        <v>360</v>
      </c>
      <c r="B185" s="3" t="s">
        <v>361</v>
      </c>
      <c r="C185" t="s">
        <v>359</v>
      </c>
      <c r="D185" s="5">
        <v>1008</v>
      </c>
      <c r="E185" s="10">
        <v>1000</v>
      </c>
      <c r="F185" s="1">
        <v>7707320475343</v>
      </c>
    </row>
    <row r="186" spans="1:6" ht="15.75" x14ac:dyDescent="0.25">
      <c r="A186" s="2" t="s">
        <v>362</v>
      </c>
      <c r="B186" s="3" t="s">
        <v>363</v>
      </c>
      <c r="C186" t="s">
        <v>359</v>
      </c>
      <c r="D186" s="5">
        <v>1008</v>
      </c>
      <c r="E186" s="10">
        <v>1000</v>
      </c>
      <c r="F186" s="1">
        <v>7707320475404</v>
      </c>
    </row>
    <row r="187" spans="1:6" ht="15.75" x14ac:dyDescent="0.25">
      <c r="A187" s="2" t="s">
        <v>364</v>
      </c>
      <c r="B187" s="3" t="s">
        <v>365</v>
      </c>
      <c r="C187" t="s">
        <v>359</v>
      </c>
      <c r="D187" s="5">
        <v>1008</v>
      </c>
      <c r="E187" s="10">
        <v>1000</v>
      </c>
      <c r="F187" s="1">
        <v>7707320475367</v>
      </c>
    </row>
    <row r="188" spans="1:6" ht="15.75" x14ac:dyDescent="0.25">
      <c r="A188" s="2" t="s">
        <v>366</v>
      </c>
      <c r="B188" s="3" t="s">
        <v>367</v>
      </c>
      <c r="C188" t="s">
        <v>222</v>
      </c>
      <c r="D188" s="5">
        <v>36</v>
      </c>
      <c r="E188" s="10">
        <v>30000</v>
      </c>
      <c r="F188" s="1">
        <v>7707320477323</v>
      </c>
    </row>
    <row r="189" spans="1:6" ht="15.75" x14ac:dyDescent="0.25">
      <c r="A189" s="2" t="s">
        <v>368</v>
      </c>
      <c r="B189" s="3" t="s">
        <v>369</v>
      </c>
      <c r="C189" t="s">
        <v>222</v>
      </c>
      <c r="D189" s="5">
        <v>36</v>
      </c>
      <c r="E189" s="10">
        <v>30000</v>
      </c>
      <c r="F189" s="1">
        <v>7707320470683</v>
      </c>
    </row>
    <row r="190" spans="1:6" ht="15.75" x14ac:dyDescent="0.25">
      <c r="A190" s="2" t="s">
        <v>370</v>
      </c>
      <c r="B190" s="3" t="s">
        <v>371</v>
      </c>
      <c r="C190" t="s">
        <v>8</v>
      </c>
      <c r="D190" s="5">
        <v>75</v>
      </c>
      <c r="E190" s="10">
        <v>25000</v>
      </c>
      <c r="F190" s="1">
        <v>7707320470881</v>
      </c>
    </row>
    <row r="191" spans="1:6" ht="15.75" x14ac:dyDescent="0.25">
      <c r="A191" s="2" t="s">
        <v>372</v>
      </c>
      <c r="B191" s="3" t="s">
        <v>373</v>
      </c>
      <c r="C191" t="s">
        <v>212</v>
      </c>
      <c r="D191" s="5">
        <v>12</v>
      </c>
      <c r="E191" s="10">
        <v>100000</v>
      </c>
    </row>
    <row r="192" spans="1:6" ht="15.75" x14ac:dyDescent="0.25">
      <c r="A192" s="2" t="s">
        <v>372</v>
      </c>
      <c r="B192" s="3" t="s">
        <v>374</v>
      </c>
      <c r="C192" t="s">
        <v>224</v>
      </c>
      <c r="D192" s="5">
        <v>12</v>
      </c>
      <c r="E192" s="10">
        <v>100000</v>
      </c>
    </row>
    <row r="193" spans="1:6" ht="15.75" x14ac:dyDescent="0.25">
      <c r="A193" s="2" t="s">
        <v>375</v>
      </c>
      <c r="B193" s="3" t="s">
        <v>376</v>
      </c>
      <c r="C193" t="s">
        <v>377</v>
      </c>
      <c r="D193" s="5">
        <v>500</v>
      </c>
      <c r="E193" s="10">
        <v>0</v>
      </c>
    </row>
    <row r="194" spans="1:6" ht="15.75" x14ac:dyDescent="0.25">
      <c r="A194" s="2" t="s">
        <v>378</v>
      </c>
      <c r="B194" s="3" t="s">
        <v>379</v>
      </c>
      <c r="C194" t="s">
        <v>377</v>
      </c>
      <c r="D194" s="5">
        <v>500</v>
      </c>
      <c r="E194" s="10">
        <v>0</v>
      </c>
    </row>
    <row r="195" spans="1:6" ht="15.75" x14ac:dyDescent="0.25">
      <c r="A195" s="2" t="s">
        <v>380</v>
      </c>
      <c r="B195" s="3" t="s">
        <v>381</v>
      </c>
      <c r="C195" t="s">
        <v>377</v>
      </c>
      <c r="D195" s="5">
        <v>2</v>
      </c>
      <c r="E195" s="10">
        <v>130000</v>
      </c>
    </row>
    <row r="196" spans="1:6" ht="15.75" x14ac:dyDescent="0.25">
      <c r="A196" s="2" t="s">
        <v>382</v>
      </c>
      <c r="B196" s="3" t="s">
        <v>383</v>
      </c>
      <c r="C196" t="s">
        <v>377</v>
      </c>
      <c r="D196" s="5">
        <v>3</v>
      </c>
      <c r="E196" s="10">
        <v>100000</v>
      </c>
    </row>
    <row r="197" spans="1:6" ht="15.75" x14ac:dyDescent="0.25">
      <c r="A197" s="2" t="s">
        <v>343</v>
      </c>
      <c r="B197" s="3" t="s">
        <v>384</v>
      </c>
      <c r="C197" t="s">
        <v>377</v>
      </c>
      <c r="D197" s="5">
        <v>12</v>
      </c>
      <c r="E197" s="10">
        <v>50000</v>
      </c>
    </row>
    <row r="198" spans="1:6" ht="15.75" x14ac:dyDescent="0.25">
      <c r="A198" s="2" t="s">
        <v>385</v>
      </c>
      <c r="B198" s="3" t="s">
        <v>386</v>
      </c>
      <c r="C198" t="s">
        <v>377</v>
      </c>
      <c r="D198" s="5">
        <v>2</v>
      </c>
      <c r="E198" s="10">
        <v>65000</v>
      </c>
    </row>
    <row r="199" spans="1:6" ht="15.75" x14ac:dyDescent="0.25">
      <c r="A199" s="2" t="s">
        <v>387</v>
      </c>
      <c r="B199" s="3" t="s">
        <v>388</v>
      </c>
      <c r="C199" t="s">
        <v>8</v>
      </c>
      <c r="D199" s="5">
        <v>40</v>
      </c>
      <c r="E199" s="10">
        <v>50000</v>
      </c>
      <c r="F199" s="1">
        <v>7707320475763</v>
      </c>
    </row>
    <row r="200" spans="1:6" ht="15.75" x14ac:dyDescent="0.25">
      <c r="A200" t="s">
        <v>389</v>
      </c>
      <c r="B200" t="s">
        <v>390</v>
      </c>
      <c r="C200" t="s">
        <v>391</v>
      </c>
      <c r="D200" s="5">
        <v>25</v>
      </c>
      <c r="E200" s="10">
        <v>5000</v>
      </c>
      <c r="F200" s="1">
        <v>77073204764870</v>
      </c>
    </row>
    <row r="201" spans="1:6" ht="15.75" x14ac:dyDescent="0.25">
      <c r="A201" t="s">
        <v>392</v>
      </c>
      <c r="B201" t="s">
        <v>393</v>
      </c>
      <c r="C201" t="s">
        <v>377</v>
      </c>
      <c r="D201" s="5">
        <v>60</v>
      </c>
      <c r="E201" s="8">
        <v>5000</v>
      </c>
    </row>
    <row r="202" spans="1:6" ht="15.75" x14ac:dyDescent="0.25">
      <c r="A202" t="s">
        <v>394</v>
      </c>
      <c r="B202" t="s">
        <v>395</v>
      </c>
      <c r="C202" t="s">
        <v>377</v>
      </c>
      <c r="D202" s="5">
        <v>50</v>
      </c>
      <c r="E202" s="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2025-12-11T00:45:58Z</dcterms:created>
  <dcterms:modified xsi:type="dcterms:W3CDTF">2025-12-11T04:41:50Z</dcterms:modified>
</cp:coreProperties>
</file>